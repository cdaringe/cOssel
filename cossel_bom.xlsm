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22995" windowHeight="9975" activeTab="1"/>
  </bookViews>
  <sheets>
    <sheet name="ExplodedBOM" sheetId="1" r:id="rId1"/>
    <sheet name="FlatBOM" sheetId="4" r:id="rId2"/>
    <sheet name="PartSpecs" sheetId="5" r:id="rId3"/>
  </sheets>
  <calcPr calcId="145621"/>
  <pivotCaches>
    <pivotCache cacheId="16" r:id="rId4"/>
  </pivotCaches>
</workbook>
</file>

<file path=xl/calcChain.xml><?xml version="1.0" encoding="utf-8"?>
<calcChain xmlns="http://schemas.openxmlformats.org/spreadsheetml/2006/main">
  <c r="H75" i="4" l="1"/>
  <c r="H76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60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4" i="4"/>
  <c r="F54" i="5"/>
  <c r="F55" i="5"/>
  <c r="F62" i="5"/>
  <c r="F63" i="5"/>
  <c r="F64" i="5"/>
  <c r="F65" i="5"/>
  <c r="F66" i="5"/>
  <c r="F67" i="5"/>
  <c r="B126" i="1"/>
  <c r="B127" i="1"/>
  <c r="B128" i="1"/>
  <c r="B129" i="1"/>
  <c r="J127" i="1"/>
  <c r="B119" i="1"/>
  <c r="B120" i="1"/>
  <c r="B121" i="1"/>
  <c r="B122" i="1"/>
  <c r="B123" i="1"/>
  <c r="B124" i="1"/>
  <c r="B125" i="1"/>
  <c r="J120" i="1"/>
  <c r="F61" i="5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J140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30" i="1"/>
  <c r="B131" i="1"/>
  <c r="B132" i="1"/>
  <c r="B133" i="1"/>
  <c r="B134" i="1"/>
  <c r="B135" i="1"/>
  <c r="B136" i="1"/>
  <c r="B137" i="1"/>
  <c r="B34" i="1"/>
  <c r="B35" i="1"/>
  <c r="B36" i="1"/>
  <c r="B37" i="1"/>
  <c r="B38" i="1"/>
  <c r="B39" i="1"/>
  <c r="B40" i="1"/>
  <c r="B41" i="1"/>
  <c r="B42" i="1"/>
  <c r="B43" i="1"/>
  <c r="F13" i="5" l="1"/>
  <c r="F14" i="5"/>
  <c r="J196" i="1"/>
  <c r="J197" i="1"/>
  <c r="J198" i="1"/>
  <c r="J199" i="1"/>
  <c r="J200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1" i="1"/>
  <c r="J122" i="1"/>
  <c r="J123" i="1"/>
  <c r="J124" i="1"/>
  <c r="J125" i="1"/>
  <c r="J126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F2" i="5" l="1"/>
  <c r="F3" i="5"/>
  <c r="F4" i="5"/>
  <c r="F5" i="5"/>
  <c r="F6" i="5"/>
  <c r="F7" i="5"/>
  <c r="F8" i="5"/>
  <c r="F9" i="5"/>
  <c r="F10" i="5"/>
  <c r="F11" i="5"/>
  <c r="F12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33" i="5"/>
  <c r="F29" i="5"/>
  <c r="F30" i="5"/>
  <c r="F31" i="5"/>
  <c r="F32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6" i="5"/>
  <c r="F57" i="5"/>
  <c r="F58" i="5"/>
  <c r="F59" i="5"/>
  <c r="F60" i="5"/>
  <c r="F72" i="5"/>
  <c r="F68" i="5"/>
  <c r="F69" i="5"/>
  <c r="F70" i="5"/>
  <c r="F71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4" i="1"/>
  <c r="B5" i="1"/>
  <c r="B6" i="1"/>
  <c r="B7" i="1"/>
  <c r="B8" i="1"/>
  <c r="B9" i="1"/>
  <c r="B10" i="1"/>
  <c r="B11" i="1"/>
  <c r="B12" i="1"/>
  <c r="B13" i="1"/>
  <c r="A2" i="1" l="1"/>
  <c r="H2" i="1" s="1"/>
  <c r="B3" i="1"/>
  <c r="A3" i="1" l="1"/>
  <c r="F93" i="1"/>
  <c r="F92" i="1"/>
  <c r="A41" i="1"/>
  <c r="A35" i="1"/>
  <c r="A102" i="1"/>
  <c r="A90" i="1"/>
  <c r="A60" i="1"/>
  <c r="A83" i="1"/>
  <c r="A84" i="1" l="1"/>
  <c r="A85" i="1" s="1"/>
  <c r="A86" i="1" s="1"/>
  <c r="A87" i="1" s="1"/>
  <c r="A88" i="1" s="1"/>
  <c r="A89" i="1" s="1"/>
  <c r="A61" i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91" i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3" i="1"/>
  <c r="A36" i="1"/>
  <c r="A37" i="1" s="1"/>
  <c r="A38" i="1" s="1"/>
  <c r="A39" i="1" s="1"/>
  <c r="A40" i="1" s="1"/>
  <c r="A42" i="1"/>
  <c r="H83" i="1"/>
  <c r="H90" i="1"/>
  <c r="H102" i="1"/>
  <c r="H3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H41" i="1"/>
  <c r="H35" i="1"/>
  <c r="H60" i="1"/>
  <c r="A126" i="1"/>
  <c r="A119" i="1"/>
  <c r="A55" i="1"/>
  <c r="H126" i="1" l="1"/>
  <c r="A127" i="1"/>
  <c r="A120" i="1"/>
  <c r="H103" i="1"/>
  <c r="A56" i="1"/>
  <c r="A57" i="1" s="1"/>
  <c r="A58" i="1" s="1"/>
  <c r="A59" i="1" s="1"/>
  <c r="A43" i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104" i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H119" i="1"/>
  <c r="H76" i="1"/>
  <c r="H84" i="1"/>
  <c r="H91" i="1"/>
  <c r="H4" i="1"/>
  <c r="H36" i="1"/>
  <c r="H55" i="1"/>
  <c r="H42" i="1"/>
  <c r="H61" i="1"/>
  <c r="H37" i="1"/>
  <c r="A128" i="1" l="1"/>
  <c r="H127" i="1"/>
  <c r="A121" i="1"/>
  <c r="H121" i="1" s="1"/>
  <c r="H120" i="1"/>
  <c r="H104" i="1"/>
  <c r="H92" i="1"/>
  <c r="H77" i="1"/>
  <c r="H85" i="1"/>
  <c r="H5" i="1"/>
  <c r="H56" i="1"/>
  <c r="H62" i="1"/>
  <c r="H43" i="1"/>
  <c r="H38" i="1"/>
  <c r="A172" i="1"/>
  <c r="A188" i="1"/>
  <c r="A179" i="1"/>
  <c r="A160" i="1"/>
  <c r="A139" i="1"/>
  <c r="A133" i="1"/>
  <c r="A129" i="1" l="1"/>
  <c r="H128" i="1"/>
  <c r="A134" i="1"/>
  <c r="H134" i="1" s="1"/>
  <c r="H133" i="1"/>
  <c r="H139" i="1"/>
  <c r="A140" i="1"/>
  <c r="H140" i="1" s="1"/>
  <c r="A161" i="1"/>
  <c r="A162" i="1" s="1"/>
  <c r="H160" i="1"/>
  <c r="A180" i="1"/>
  <c r="A181" i="1" s="1"/>
  <c r="A182" i="1" s="1"/>
  <c r="A183" i="1" s="1"/>
  <c r="A184" i="1" s="1"/>
  <c r="A185" i="1" s="1"/>
  <c r="A186" i="1" s="1"/>
  <c r="A187" i="1" s="1"/>
  <c r="A189" i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173" i="1"/>
  <c r="A174" i="1" s="1"/>
  <c r="A175" i="1" s="1"/>
  <c r="A176" i="1" s="1"/>
  <c r="A177" i="1" s="1"/>
  <c r="A178" i="1" s="1"/>
  <c r="A122" i="1"/>
  <c r="A123" i="1" s="1"/>
  <c r="A124" i="1" s="1"/>
  <c r="A125" i="1" s="1"/>
  <c r="H125" i="1" s="1"/>
  <c r="H86" i="1"/>
  <c r="H78" i="1"/>
  <c r="H93" i="1"/>
  <c r="H105" i="1"/>
  <c r="H6" i="1"/>
  <c r="H44" i="1"/>
  <c r="H57" i="1"/>
  <c r="H63" i="1"/>
  <c r="H40" i="1"/>
  <c r="H39" i="1"/>
  <c r="A145" i="1"/>
  <c r="A164" i="1"/>
  <c r="A135" i="1" l="1"/>
  <c r="H135" i="1" s="1"/>
  <c r="A130" i="1"/>
  <c r="H129" i="1"/>
  <c r="A141" i="1"/>
  <c r="H141" i="1" s="1"/>
  <c r="H122" i="1"/>
  <c r="H164" i="1"/>
  <c r="A165" i="1"/>
  <c r="A166" i="1" s="1"/>
  <c r="A167" i="1" s="1"/>
  <c r="A168" i="1" s="1"/>
  <c r="A169" i="1" s="1"/>
  <c r="A170" i="1" s="1"/>
  <c r="A171" i="1" s="1"/>
  <c r="H171" i="1" s="1"/>
  <c r="A146" i="1"/>
  <c r="H146" i="1" s="1"/>
  <c r="H145" i="1"/>
  <c r="H192" i="1"/>
  <c r="H191" i="1"/>
  <c r="H161" i="1"/>
  <c r="A142" i="1"/>
  <c r="A163" i="1"/>
  <c r="H163" i="1" s="1"/>
  <c r="H162" i="1"/>
  <c r="H193" i="1"/>
  <c r="H94" i="1"/>
  <c r="H106" i="1"/>
  <c r="H79" i="1"/>
  <c r="H87" i="1"/>
  <c r="H123" i="1"/>
  <c r="H7" i="1"/>
  <c r="H59" i="1"/>
  <c r="H58" i="1"/>
  <c r="H64" i="1"/>
  <c r="H45" i="1"/>
  <c r="A136" i="1" l="1"/>
  <c r="A137" i="1" s="1"/>
  <c r="A147" i="1"/>
  <c r="A148" i="1" s="1"/>
  <c r="A131" i="1"/>
  <c r="H130" i="1"/>
  <c r="H165" i="1"/>
  <c r="H166" i="1"/>
  <c r="H170" i="1"/>
  <c r="H167" i="1"/>
  <c r="A143" i="1"/>
  <c r="H142" i="1"/>
  <c r="H194" i="1"/>
  <c r="H89" i="1"/>
  <c r="H88" i="1"/>
  <c r="H124" i="1"/>
  <c r="H107" i="1"/>
  <c r="H95" i="1"/>
  <c r="H80" i="1"/>
  <c r="H169" i="1"/>
  <c r="H168" i="1"/>
  <c r="H8" i="1"/>
  <c r="H65" i="1"/>
  <c r="H46" i="1"/>
  <c r="H136" i="1" l="1"/>
  <c r="H147" i="1"/>
  <c r="A132" i="1"/>
  <c r="H132" i="1" s="1"/>
  <c r="H131" i="1"/>
  <c r="A149" i="1"/>
  <c r="H148" i="1"/>
  <c r="A144" i="1"/>
  <c r="H144" i="1" s="1"/>
  <c r="H143" i="1"/>
  <c r="A138" i="1"/>
  <c r="H138" i="1" s="1"/>
  <c r="H137" i="1"/>
  <c r="H199" i="1"/>
  <c r="H200" i="1"/>
  <c r="H198" i="1"/>
  <c r="H197" i="1"/>
  <c r="H195" i="1"/>
  <c r="H196" i="1"/>
  <c r="H96" i="1"/>
  <c r="H82" i="1"/>
  <c r="H81" i="1"/>
  <c r="H108" i="1"/>
  <c r="H9" i="1"/>
  <c r="H47" i="1"/>
  <c r="H66" i="1"/>
  <c r="A150" i="1" l="1"/>
  <c r="H149" i="1"/>
  <c r="H109" i="1"/>
  <c r="H97" i="1"/>
  <c r="H10" i="1"/>
  <c r="H48" i="1"/>
  <c r="H67" i="1"/>
  <c r="A151" i="1" l="1"/>
  <c r="H150" i="1"/>
  <c r="H98" i="1"/>
  <c r="H110" i="1"/>
  <c r="H11" i="1"/>
  <c r="H49" i="1"/>
  <c r="H68" i="1"/>
  <c r="A152" i="1" l="1"/>
  <c r="H151" i="1"/>
  <c r="H111" i="1"/>
  <c r="H99" i="1"/>
  <c r="H12" i="1"/>
  <c r="H50" i="1"/>
  <c r="H69" i="1"/>
  <c r="A153" i="1" l="1"/>
  <c r="H152" i="1"/>
  <c r="H101" i="1"/>
  <c r="H100" i="1"/>
  <c r="H112" i="1"/>
  <c r="H13" i="1"/>
  <c r="H70" i="1"/>
  <c r="H51" i="1"/>
  <c r="A154" i="1" l="1"/>
  <c r="H153" i="1"/>
  <c r="H113" i="1"/>
  <c r="H14" i="1"/>
  <c r="H52" i="1"/>
  <c r="H71" i="1"/>
  <c r="A155" i="1" l="1"/>
  <c r="H154" i="1"/>
  <c r="H114" i="1"/>
  <c r="H15" i="1"/>
  <c r="H72" i="1"/>
  <c r="H54" i="1"/>
  <c r="H53" i="1"/>
  <c r="A156" i="1" l="1"/>
  <c r="H155" i="1"/>
  <c r="H115" i="1"/>
  <c r="H16" i="1"/>
  <c r="H73" i="1"/>
  <c r="A157" i="1" l="1"/>
  <c r="H156" i="1"/>
  <c r="H116" i="1"/>
  <c r="H74" i="1"/>
  <c r="A158" i="1" l="1"/>
  <c r="H157" i="1"/>
  <c r="H118" i="1"/>
  <c r="H117" i="1"/>
  <c r="H17" i="1"/>
  <c r="H75" i="1"/>
  <c r="A159" i="1" l="1"/>
  <c r="H159" i="1" s="1"/>
  <c r="H158" i="1"/>
  <c r="H18" i="1"/>
  <c r="H19" i="1" l="1"/>
  <c r="H20" i="1" l="1"/>
  <c r="H21" i="1" l="1"/>
  <c r="H22" i="1" l="1"/>
  <c r="H23" i="1" l="1"/>
  <c r="H24" i="1" l="1"/>
  <c r="H25" i="1" l="1"/>
  <c r="H26" i="1" l="1"/>
  <c r="H27" i="1" l="1"/>
  <c r="H28" i="1" l="1"/>
  <c r="H29" i="1" l="1"/>
  <c r="H30" i="1" l="1"/>
  <c r="H31" i="1" l="1"/>
  <c r="H32" i="1" l="1"/>
  <c r="H33" i="1" l="1"/>
  <c r="H34" i="1" l="1"/>
  <c r="H188" i="1" l="1"/>
  <c r="H189" i="1"/>
  <c r="H190" i="1" l="1"/>
  <c r="H179" i="1"/>
  <c r="H172" i="1"/>
  <c r="H180" i="1"/>
  <c r="H173" i="1" l="1"/>
  <c r="H174" i="1" l="1"/>
  <c r="H181" i="1"/>
  <c r="H175" i="1" l="1"/>
  <c r="H182" i="1"/>
  <c r="H183" i="1" l="1"/>
  <c r="H176" i="1"/>
  <c r="H178" i="1" l="1"/>
  <c r="H177" i="1"/>
  <c r="H184" i="1"/>
  <c r="H185" i="1" l="1"/>
  <c r="H186" i="1" l="1"/>
  <c r="H187" i="1"/>
</calcChain>
</file>

<file path=xl/comments1.xml><?xml version="1.0" encoding="utf-8"?>
<comments xmlns="http://schemas.openxmlformats.org/spreadsheetml/2006/main">
  <authors>
    <author>Christopher Dieringer</author>
  </authors>
  <commentList>
    <comment ref="A1" authorId="0">
      <text>
        <r>
          <rPr>
            <b/>
            <sz val="9"/>
            <color indexed="81"/>
            <rFont val="Tahoma"/>
            <charset val="1"/>
          </rPr>
          <t>Christopher Dieringer:</t>
        </r>
        <r>
          <rPr>
            <sz val="9"/>
            <color indexed="81"/>
            <rFont val="Tahoma"/>
            <charset val="1"/>
          </rPr>
          <t xml:space="preserve">
Ensure if items are added or removed from the table on the left, that these two columns be filled as well</t>
        </r>
      </text>
    </comment>
  </commentList>
</comments>
</file>

<file path=xl/sharedStrings.xml><?xml version="1.0" encoding="utf-8"?>
<sst xmlns="http://schemas.openxmlformats.org/spreadsheetml/2006/main" count="1121" uniqueCount="282">
  <si>
    <t>2020-800mm</t>
  </si>
  <si>
    <t>open_rail-700mm</t>
  </si>
  <si>
    <t>ea</t>
  </si>
  <si>
    <t>rp_base_vertex</t>
  </si>
  <si>
    <t>2020-300mm</t>
  </si>
  <si>
    <t>wshr_m4</t>
  </si>
  <si>
    <t>wshr_m3</t>
  </si>
  <si>
    <t>(carriage)</t>
  </si>
  <si>
    <t>(post)</t>
  </si>
  <si>
    <t>rp_plate_slider</t>
  </si>
  <si>
    <t>open_rail_shim</t>
  </si>
  <si>
    <t>open_rail_wheel_delrin</t>
  </si>
  <si>
    <t>open_rail_wheel_sst</t>
  </si>
  <si>
    <t>rp_flag_carriage</t>
  </si>
  <si>
    <t>nut_m3_jam</t>
  </si>
  <si>
    <t>scrw_m3_20</t>
  </si>
  <si>
    <t>open_rail_nut_m5</t>
  </si>
  <si>
    <t>open_rail_shim_eccentric</t>
  </si>
  <si>
    <t>open_rail_bearing</t>
  </si>
  <si>
    <t>open_rail_spacer_bearing</t>
  </si>
  <si>
    <t>rod_carbon_330mm</t>
  </si>
  <si>
    <t>rod_ends</t>
  </si>
  <si>
    <t>(rods)</t>
  </si>
  <si>
    <t>(bed)</t>
  </si>
  <si>
    <t>pcb_heater</t>
  </si>
  <si>
    <t>bracket_heater_sppt_wood</t>
  </si>
  <si>
    <t>(assy_bed_block)</t>
  </si>
  <si>
    <t>nut_m3</t>
  </si>
  <si>
    <t>tab_felt</t>
  </si>
  <si>
    <t>rp_block_bed</t>
  </si>
  <si>
    <t>scrw_m4_10</t>
  </si>
  <si>
    <t>bed_glass</t>
  </si>
  <si>
    <t>switch_thermal</t>
  </si>
  <si>
    <t>scrw_finish_#6</t>
  </si>
  <si>
    <t>(kit_bed_install)</t>
  </si>
  <si>
    <t>scrw_m4_15</t>
  </si>
  <si>
    <t>spring_m4</t>
  </si>
  <si>
    <t>(post_top)</t>
  </si>
  <si>
    <t>rp_upper_vertex</t>
  </si>
  <si>
    <t>2020-371mm</t>
  </si>
  <si>
    <t>wshr_m4_fender</t>
  </si>
  <si>
    <t>nut_m4</t>
  </si>
  <si>
    <t>bearing_624z</t>
  </si>
  <si>
    <t>scrw_m4_25</t>
  </si>
  <si>
    <t>(assy_opto)</t>
  </si>
  <si>
    <t>rp_opto_mount</t>
  </si>
  <si>
    <t>scrw_m3_12</t>
  </si>
  <si>
    <t>pcb_opto</t>
  </si>
  <si>
    <t>(assy_pwr_spply)</t>
  </si>
  <si>
    <t>power_supply</t>
  </si>
  <si>
    <t>bracket_power_supply</t>
  </si>
  <si>
    <t>(kit_spool_extruder_mount_framing)</t>
  </si>
  <si>
    <t>bracket_tee_2020</t>
  </si>
  <si>
    <t>nut_extr_m5 (open_rail_kit_excess)</t>
  </si>
  <si>
    <t>2020-200mm</t>
  </si>
  <si>
    <t>2020-50mm</t>
  </si>
  <si>
    <t>2020-134mm</t>
  </si>
  <si>
    <t>rp_extruder_join_upper</t>
  </si>
  <si>
    <t>rp_extruder_join_lower</t>
  </si>
  <si>
    <t>(kit_dual_extruder)</t>
  </si>
  <si>
    <t>(kit_extruder_hw)</t>
  </si>
  <si>
    <t>scrw_m3_10</t>
  </si>
  <si>
    <t>scrw_m3_25</t>
  </si>
  <si>
    <t>scrw_m3_35</t>
  </si>
  <si>
    <t>bearing_608z</t>
  </si>
  <si>
    <t>drive_filament_dia</t>
  </si>
  <si>
    <t>rp_idler</t>
  </si>
  <si>
    <t>rp_idler_strut</t>
  </si>
  <si>
    <t>rp_idler_boss_bearing_8mm</t>
  </si>
  <si>
    <t>scrw_m3_50</t>
  </si>
  <si>
    <t>spring_m3_extruder</t>
  </si>
  <si>
    <t>(kit_extruder_1)</t>
  </si>
  <si>
    <t>(kit_extruder_2)</t>
  </si>
  <si>
    <t>rp_idler_mirrored</t>
  </si>
  <si>
    <t>rod_threaded_8mm-271mm</t>
  </si>
  <si>
    <t>rp_bracket_axle_spool</t>
  </si>
  <si>
    <t>(kit_dual_spool_mount)</t>
  </si>
  <si>
    <t>fitting_one_touch_4mm</t>
  </si>
  <si>
    <t>rp_ram</t>
  </si>
  <si>
    <t>(assy_end_effector)</t>
  </si>
  <si>
    <t>extruder_maker_gear</t>
  </si>
  <si>
    <t>(kit_lower_electronics)</t>
  </si>
  <si>
    <t>pcb_arduino_mega</t>
  </si>
  <si>
    <t>(RAMPS)</t>
  </si>
  <si>
    <t>pcb_RAMPS_stack</t>
  </si>
  <si>
    <t>rp_bracket_RAMPS</t>
  </si>
  <si>
    <t>fan_40mm_12VDC</t>
  </si>
  <si>
    <t>(kit_frame_strut)</t>
  </si>
  <si>
    <t>rp_bracket_lateral_sppt</t>
  </si>
  <si>
    <t>rp_bracket_lateral_sppt_mirrored</t>
  </si>
  <si>
    <t>wshr_4mm</t>
  </si>
  <si>
    <t>150C NC Temperature Switch Ceramic Thermostat KSD301 2 Pcs</t>
  </si>
  <si>
    <t>wire_raceway_5in</t>
  </si>
  <si>
    <t>wire_raceway_8in</t>
  </si>
  <si>
    <t>wire_raceway_10in</t>
  </si>
  <si>
    <t>wire_raceway_25in</t>
  </si>
  <si>
    <t>F.75X1.5LG6 (panduit / panduct)</t>
  </si>
  <si>
    <t>(kit_ducting)</t>
  </si>
  <si>
    <t>wire_wrap_10ft</t>
  </si>
  <si>
    <t>http://www.amazon.com/Vaisis-Spiral-Harness-Outside-Diameter/dp/B003PR6KUO/ref=sr_1_17?s=electronics&amp;ie=UTF8&amp;qid=1391851443&amp;sr=1-17&amp;keywords=cable+wrap</t>
  </si>
  <si>
    <t>http://www.homedepot.com/p/Everbilt-Spring-Assortment-Kit-84-Pack-15642/202045461</t>
  </si>
  <si>
    <t>(kit_dual_hot_end)</t>
  </si>
  <si>
    <t>(assy_ee_fan)</t>
  </si>
  <si>
    <t>rp_mount_fan_ee</t>
  </si>
  <si>
    <t>scrw_m3_15</t>
  </si>
  <si>
    <t>gear_drive_belt_gt2</t>
  </si>
  <si>
    <t>ParentLine</t>
  </si>
  <si>
    <t>(SUPERBOM)</t>
  </si>
  <si>
    <t>QtyScalar</t>
  </si>
  <si>
    <t>Part</t>
  </si>
  <si>
    <t>Qty</t>
  </si>
  <si>
    <t>UOM</t>
  </si>
  <si>
    <t>Qty_Exploded</t>
  </si>
  <si>
    <t>Vendor</t>
  </si>
  <si>
    <t>Phantom</t>
  </si>
  <si>
    <t>FALSE</t>
  </si>
  <si>
    <t>tubing_4mm_bowden_1000mm</t>
  </si>
  <si>
    <t>.</t>
  </si>
  <si>
    <t>BOM Level</t>
  </si>
  <si>
    <t>belt_gt2_1700mm</t>
  </si>
  <si>
    <t>Total Qty</t>
  </si>
  <si>
    <t>klj</t>
  </si>
  <si>
    <t>MFG PN</t>
  </si>
  <si>
    <t>(no vendor data entered)</t>
  </si>
  <si>
    <t>Link</t>
  </si>
  <si>
    <t>rp_bracket_pwr_spply_tab</t>
  </si>
  <si>
    <t>bracket_power_supply_stablity_xy</t>
  </si>
  <si>
    <t>bracket_hot_end_groovemount_dual</t>
  </si>
  <si>
    <t>http://www.ponoko.com/design-your-own/products/cossel-wood-plate-11227</t>
  </si>
  <si>
    <t>Notes</t>
  </si>
  <si>
    <t>Wooden piece.  Laser cutting files on GitHub &amp; ponoko</t>
  </si>
  <si>
    <t>http://www.phidgets.com/products.php?product_id=3317</t>
  </si>
  <si>
    <t>https://ultimachine.com/content/kysan-1124090-nema-17-stepper-motor</t>
  </si>
  <si>
    <t>motor_nema_17</t>
  </si>
  <si>
    <t>motor_nema_17_geared_5.18_1</t>
  </si>
  <si>
    <t>http://www.makergear.com/products/extruders</t>
  </si>
  <si>
    <t>Make sure to configure your order for 1.75 barrel.</t>
  </si>
  <si>
    <t>MakerGear</t>
  </si>
  <si>
    <t>Ponoko</t>
  </si>
  <si>
    <t>Ultimachine</t>
  </si>
  <si>
    <t>Phidgets</t>
  </si>
  <si>
    <t>7578K73</t>
  </si>
  <si>
    <t>3317_1</t>
  </si>
  <si>
    <t>UMN17MTR</t>
  </si>
  <si>
    <t>http://www.mcmaster.com/#catalog/120/862/=qly4to</t>
  </si>
  <si>
    <t>The 6'6" is enough for your full build</t>
  </si>
  <si>
    <t>scrw_m4_8</t>
  </si>
  <si>
    <t>(misc parts)</t>
  </si>
  <si>
    <t>cable_ribbon_10_conductor_15ft</t>
  </si>
  <si>
    <t>https://www.sparkfun.com/products/10647</t>
  </si>
  <si>
    <t>CAB-1064</t>
  </si>
  <si>
    <t>Used for bulk-running the opto +V, SIG, &amp; GND to the board.  Also used for clean motor runs and I/O to the EE.  Note, some have suggested this is too thin of wire gauge.  User to decide</t>
  </si>
  <si>
    <t>Thermaltake</t>
  </si>
  <si>
    <t>http://www.newegg.com/Product/Product.aspx?Item=N82E16817153167</t>
  </si>
  <si>
    <t>Vendor PN</t>
  </si>
  <si>
    <t>N82E16817153167</t>
  </si>
  <si>
    <t>TR2 TR-700</t>
  </si>
  <si>
    <t>ATX PS.  Quiet, reliable.</t>
  </si>
  <si>
    <t>SparkFun</t>
  </si>
  <si>
    <t>HFS5-2020-50</t>
  </si>
  <si>
    <t>Misumui</t>
  </si>
  <si>
    <t>HNTTBS5-4</t>
  </si>
  <si>
    <t>GXT5540</t>
  </si>
  <si>
    <t>Hobby-Lobby</t>
  </si>
  <si>
    <t>http://www.hobbyexpress.com/carbon_fiber_tube_5.5_x_4.0_x_1000_mm_24247_prd1.htm?pSearchQueryId=4680220</t>
  </si>
  <si>
    <t>Must be cut to size. 3x 1000 rods will satisfy a std build</t>
  </si>
  <si>
    <t>HBLFSN5</t>
  </si>
  <si>
    <t>HFS5-2020-800</t>
  </si>
  <si>
    <t>HFS5-2020-300</t>
  </si>
  <si>
    <t>HFS5-2020-371</t>
  </si>
  <si>
    <t>HFS5-2020-200</t>
  </si>
  <si>
    <t>2020_cap</t>
  </si>
  <si>
    <t>HFC5-2020</t>
  </si>
  <si>
    <t>HFS5-2020-134</t>
  </si>
  <si>
    <t>http://openbuildspartstore.com/eccentric-spacers/</t>
  </si>
  <si>
    <t>http://openbuildspartstore.com/gt2-2mm-aluminum-timing-pulley-20/</t>
  </si>
  <si>
    <t>20 tooth or less is critical to prevent the belt from hitting the carriage</t>
  </si>
  <si>
    <t>http://openbuildspartstore.com/openrail-black-anodized/</t>
  </si>
  <si>
    <t>Order the 1000mm's and cut to length</t>
  </si>
  <si>
    <t>scrw_m5_10 (open_rail_kit_excess)</t>
  </si>
  <si>
    <t>OpenBuilds</t>
  </si>
  <si>
    <t>Do not order directly for hardware.  Hardware comes kitted with your rail.</t>
  </si>
  <si>
    <t>http://openbuildspartstore.com/openbuilds-dual-v-wheel-kit-metal/</t>
  </si>
  <si>
    <t>http://openbuildspartstore.com/openbuilds-dual-v-wheel-kit-delrin/</t>
  </si>
  <si>
    <t>Do not order directly for hardware.  You will have excess from your wheel kits which instead use the eccentric spacer.</t>
  </si>
  <si>
    <t>http://openbuildspartstore.com/gt2-2mm-timing-belt/</t>
  </si>
  <si>
    <t>Order by the foot. 304.8 mm / ft!</t>
  </si>
  <si>
    <t>http://us.misumi-ec.com/</t>
  </si>
  <si>
    <t>Site is designed for commerical customers, but you can still setup an account.  You must manually enter the part numbers into a purchase order.</t>
  </si>
  <si>
    <t>Misumi</t>
  </si>
  <si>
    <t>Amazon</t>
  </si>
  <si>
    <t>608z</t>
  </si>
  <si>
    <t>http://www.amazon.com/Amico-Single-Shielded-Miniature-Bearings/dp/B00843OUNI/ref=sr_1_1?ie=UTF8&amp;qid=1391903370&amp;sr=8-1&amp;keywords=608z</t>
  </si>
  <si>
    <t>Easily sourced</t>
  </si>
  <si>
    <t>624z</t>
  </si>
  <si>
    <t>http://www.amazon.com/Amico-Single-Shielded-Groove-Bearing/dp/B00AUB7M3C/ref=sr_1_1?ie=UTF8&amp;qid=1391903417&amp;sr=8-1&amp;keywords=624z</t>
  </si>
  <si>
    <t>RP</t>
  </si>
  <si>
    <t>Files on GitHub</t>
  </si>
  <si>
    <t>http://reprap.org/wiki/Drive-gear</t>
  </si>
  <si>
    <r>
      <t xml:space="preserve">Mk7-like with </t>
    </r>
    <r>
      <rPr>
        <b/>
        <sz val="11"/>
        <color theme="1"/>
        <rFont val="Calibri"/>
        <family val="2"/>
        <scheme val="minor"/>
      </rPr>
      <t>8mm</t>
    </r>
    <r>
      <rPr>
        <sz val="11"/>
        <color theme="1"/>
        <rFont val="Calibri"/>
        <family val="2"/>
        <scheme val="minor"/>
      </rPr>
      <t xml:space="preserve"> bore to be compatible with phidgets geared steppers.</t>
    </r>
  </si>
  <si>
    <t>http://www.amazon.com/Gelid-Solutions-Silent-40mm-FN-SX04-42/dp/B00BF3S83C/ref=sr_1_6?s=electronics&amp;ie=UTF8&amp;qid=1391904001&amp;sr=1-6&amp;keywords=40mm+fan</t>
  </si>
  <si>
    <t>Most 40mm 12VDC fans should do the trick</t>
  </si>
  <si>
    <t>http://www.amazon.com/dp/B00AM42V6U/ref=biss_dp_sa1</t>
  </si>
  <si>
    <t>KQ2S04-M5A</t>
  </si>
  <si>
    <t>5mm thread req'd and 4mm OD tube receptable req'd</t>
  </si>
  <si>
    <t>http://www.makershop.co.nz/PFA_4-2MM</t>
  </si>
  <si>
    <t>Any common RepRap 4mm tube shall suffice</t>
  </si>
  <si>
    <t>http://www.fastenal.com/web/products/details/1L2510000A20000?searchMode=productSearch&amp;zipcode=&amp;filterByStore=&amp;filterByVendingMachine=</t>
  </si>
  <si>
    <t>http://www.fastenal.com/web/products/details/1L2530000A20000?searchMode=productSearch&amp;zipcode=&amp;filterByStore=&amp;filterByVendingMachine=</t>
  </si>
  <si>
    <t>Nylon lock preferred</t>
  </si>
  <si>
    <t>http://www.fastenal.com/web/products/details/MJ2510000A20000?searchMode=productSearch&amp;zipcode=&amp;filterByStore=&amp;filterByVendingMachine=</t>
  </si>
  <si>
    <t>Jam</t>
  </si>
  <si>
    <t>open_rail_scrw_m5_std_wheel_mnt</t>
  </si>
  <si>
    <t>https://ultimachine.com/ramps-pre-assembled-kit-complete</t>
  </si>
  <si>
    <t>Single Z, not dual Z configuration.</t>
  </si>
  <si>
    <t>https://ultimachine.com/oek</t>
  </si>
  <si>
    <t>https://ultimachine.com/content/prusa-pcb-heated-bed</t>
  </si>
  <si>
    <t>https://ultimachine.com/content/arduino-mega-2560-r3</t>
  </si>
  <si>
    <t>Note: The RAMPS stack below includes a MEGA 2560.  Make sure not to double buy!</t>
  </si>
  <si>
    <t>pcb_fan_extension_board</t>
  </si>
  <si>
    <t>pcb_sd_ramps_extension_board</t>
  </si>
  <si>
    <t>http://www.geeetech.com/wiki/index.php/Reprap_Ramps1.4_RRD_Fan_Extender</t>
  </si>
  <si>
    <t>http://www.geeetech.com/wiki/index.php/SD_for_RAMPS</t>
  </si>
  <si>
    <t>Geeetech</t>
  </si>
  <si>
    <t>http://www.amazon.com/Traxxas-5347-Hollow-Balls-Large/dp/B000BOLVJY</t>
  </si>
  <si>
    <t>4mm OD receptable, 3mm thru-hole ball-ends</t>
  </si>
  <si>
    <t>Grainger</t>
  </si>
  <si>
    <t>http://reprap.org/wiki/Threaded_rod</t>
  </si>
  <si>
    <t>5/16" rod is ~8mm too.  You can buy 5/16" rod at hardware stores (i.e. Home Depot) for a couple of bucks.</t>
  </si>
  <si>
    <t>Fastenal</t>
  </si>
  <si>
    <t>Thermal switch is not required, but strongly recommended for safety</t>
  </si>
  <si>
    <t>http://www.amazon.com/Amico-Thermostat-Temperature-Control-Celsius/dp/B007Q81IQY</t>
  </si>
  <si>
    <t>Amico KSD301</t>
  </si>
  <si>
    <t>Home Depot</t>
  </si>
  <si>
    <t>Only 1x spring kit reqd</t>
  </si>
  <si>
    <t>Only order this if your timing pulleys and filament drive gear do not come with their own.  They nearly always do.</t>
  </si>
  <si>
    <t>scrw_m4_set_20</t>
  </si>
  <si>
    <t>http://www.fastenal.com/web/products/details/MX2530020A20000?searchMode=productSearch&amp;zipcode=&amp;filterByStore=&amp;filterByVendingMachine=</t>
  </si>
  <si>
    <t>Rod End Mounts</t>
  </si>
  <si>
    <t>epoxy_two_part</t>
  </si>
  <si>
    <t>RepRap Sources</t>
  </si>
  <si>
    <t>http://www.amazon.com/Devcon-2-Ton-Crystal-Clear-0-84-Ounce/dp/B0006O8QQ0/ref=sr_1_1?s=toys-and-games&amp;ie=UTF8&amp;qid=1391907029&amp;sr=1-1&amp;keywords=two+part+epoxy</t>
  </si>
  <si>
    <t>For gluing the rod ends to the carbon tubing</t>
  </si>
  <si>
    <t xml:space="preserve">Pan head &amp; SST preferred when applicable. </t>
  </si>
  <si>
    <t>scrw_m4_12</t>
  </si>
  <si>
    <t>scrw_m3_set</t>
  </si>
  <si>
    <t>This is a thermal barrier between the bed and the bed clamp.  Simply household cloth shall suffice.</t>
  </si>
  <si>
    <t>MakerShop</t>
  </si>
  <si>
    <t>McMaster-Carr</t>
  </si>
  <si>
    <t>http://www.fastenal.com/web/products/details/11511778?isPunchout=false</t>
  </si>
  <si>
    <t>http://www.mcmaster.com/#spiral-bundling-wrap/=qm0474</t>
  </si>
  <si>
    <t>7378K41</t>
  </si>
  <si>
    <t>WikiLink</t>
  </si>
  <si>
    <t xml:space="preserve"> </t>
  </si>
  <si>
    <t>Recommended for safety</t>
  </si>
  <si>
    <t>Pick a color! You may use 8+ ft.</t>
  </si>
  <si>
    <t>SST preferred</t>
  </si>
  <si>
    <t>Prusa Heater</t>
  </si>
  <si>
    <t>Strongly recommended as pausing issues occur when printing via USB</t>
  </si>
  <si>
    <t>Std opto's</t>
  </si>
  <si>
    <t>Or make your own!  [http://cdaringe.net/blurb/cossel-fan-extension-board/ cdaringe opto-extension board]</t>
  </si>
  <si>
    <t>Wheel kit</t>
  </si>
  <si>
    <t>Stock availability can be shaky.  May need to adapt a different eccentric nut.</t>
  </si>
  <si>
    <t>Std reprap motor</t>
  </si>
  <si>
    <t>Extra torque required for long bowden path to hot end</t>
  </si>
  <si>
    <t>URL</t>
  </si>
  <si>
    <t>(kit_brace_vertex_top)</t>
  </si>
  <si>
    <t>rp_brace_top_vertex</t>
  </si>
  <si>
    <t>scrw_m4_20</t>
  </si>
  <si>
    <t>nut_m4_extr</t>
  </si>
  <si>
    <t>brace_frame</t>
  </si>
  <si>
    <t>brace_spacer</t>
  </si>
  <si>
    <t>Legacy brace.  Still may be viable and desired by some users.  Included by default in Ponoko cut-out .svg</t>
  </si>
  <si>
    <t>rp_mount_fan_motor_drivers</t>
  </si>
  <si>
    <t>SeeMeCNC</t>
  </si>
  <si>
    <t>http://seemecnc.com/products/boroscillicate-glass-build-plate-300mm</t>
  </si>
  <si>
    <t>300mm, round borosilicate!</t>
  </si>
  <si>
    <t>rp_end_effector</t>
  </si>
  <si>
    <t>rp_extruder_cossel_bowder</t>
  </si>
  <si>
    <t>rp_extruder_cossel_bowder_mirrored</t>
  </si>
  <si>
    <t>rp_extruder_cossel_bowden_mirrored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</si>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</sst>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 val="double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1"/>
    <xf numFmtId="0" fontId="6" fillId="0" borderId="0" xfId="0" applyFont="1"/>
    <xf numFmtId="0" fontId="1" fillId="0" borderId="0" xfId="1" applyFill="1" applyBorder="1"/>
  </cellXfs>
  <cellStyles count="2">
    <cellStyle name="Hyperlink" xfId="1" builtinId="8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285750</xdr:colOff>
      <xdr:row>0</xdr:row>
      <xdr:rowOff>180975</xdr:rowOff>
    </xdr:from>
    <xdr:to>
      <xdr:col>14</xdr:col>
      <xdr:colOff>247650</xdr:colOff>
      <xdr:row>14</xdr:row>
      <xdr:rowOff>104775</xdr:rowOff>
    </xdr:to>
    <xdr:sp macro="" textlink="">
      <xdr:nvSpPr>
        <xdr:cNvPr id="2" name="Rectangle 1"/>
        <xdr:cNvSpPr/>
      </xdr:nvSpPr>
      <xdr:spPr>
        <a:xfrm>
          <a:off x="8629650" y="180975"/>
          <a:ext cx="3419475" cy="25908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USAGE</a:t>
          </a:r>
          <a:r>
            <a:rPr lang="en-US" sz="1100" b="1" baseline="0">
              <a:solidFill>
                <a:sysClr val="windowText" lastClr="000000"/>
              </a:solidFill>
            </a:rPr>
            <a:t> NOTES:</a:t>
          </a:r>
          <a:endParaRPr lang="en-US" sz="1100" b="1">
            <a:solidFill>
              <a:sysClr val="windowText" lastClr="000000"/>
            </a:solidFill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</a:rPr>
            <a:t>1) </a:t>
          </a:r>
          <a:r>
            <a:rPr lang="en-US" sz="1100" b="1" u="sng">
              <a:solidFill>
                <a:sysClr val="windowText" lastClr="000000"/>
              </a:solidFill>
            </a:rPr>
            <a:t>Do not sort the table!</a:t>
          </a:r>
        </a:p>
        <a:p>
          <a:pPr algn="l"/>
          <a:r>
            <a:rPr lang="en-US" sz="11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2) Macros must be enabled to use the workbook</a:t>
          </a:r>
        </a:p>
        <a:p>
          <a:pPr algn="l"/>
          <a:r>
            <a:rPr lang="en-US" sz="1100" b="1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3) If items are added/deleted,</a:t>
          </a:r>
          <a:r>
            <a:rPr lang="en-US" sz="1100" b="1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columns A &amp; B must be AUTOFILLED back down thru-the bottom of the workbook</a:t>
          </a:r>
        </a:p>
        <a:p>
          <a:pPr algn="l"/>
          <a:r>
            <a:rPr lang="en-US" sz="1100" b="1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4) If items are added/deleted, run the "Update" macro in the FlatBOM worksheet</a:t>
          </a:r>
        </a:p>
        <a:p>
          <a:pPr algn="l"/>
          <a:r>
            <a:rPr lang="en-US" sz="1100" b="1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5) This is an exploded Engineering BOM, not a flat BOM.  Make updates at the assembly level, and use quantities associated for a single assembly.   The flat BOM is in the next tab.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0</xdr:row>
          <xdr:rowOff>38100</xdr:rowOff>
        </xdr:from>
        <xdr:to>
          <xdr:col>16</xdr:col>
          <xdr:colOff>209550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FlatBOM &amp; Vendor Info (also adds new parts to the PartSpecs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2085975</xdr:colOff>
      <xdr:row>0</xdr:row>
      <xdr:rowOff>114300</xdr:rowOff>
    </xdr:from>
    <xdr:to>
      <xdr:col>8</xdr:col>
      <xdr:colOff>28575</xdr:colOff>
      <xdr:row>14</xdr:row>
      <xdr:rowOff>38100</xdr:rowOff>
    </xdr:to>
    <xdr:sp macro="" textlink="">
      <xdr:nvSpPr>
        <xdr:cNvPr id="2" name="Rectangle 1"/>
        <xdr:cNvSpPr/>
      </xdr:nvSpPr>
      <xdr:spPr>
        <a:xfrm>
          <a:off x="13211175" y="114300"/>
          <a:ext cx="3419475" cy="25908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</a:rPr>
            <a:t>USAGE</a:t>
          </a:r>
          <a:r>
            <a:rPr lang="en-US" sz="1100" b="1" baseline="0">
              <a:solidFill>
                <a:sysClr val="windowText" lastClr="000000"/>
              </a:solidFill>
            </a:rPr>
            <a:t> NOTES:</a:t>
          </a:r>
          <a:endParaRPr lang="en-US" sz="1100" b="1">
            <a:solidFill>
              <a:sysClr val="windowText" lastClr="000000"/>
            </a:solidFill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</a:rPr>
            <a:t>1) Spaces shall be inserted into</a:t>
          </a:r>
          <a:r>
            <a:rPr lang="en-US" sz="1100" b="1" baseline="0">
              <a:solidFill>
                <a:sysClr val="windowText" lastClr="000000"/>
              </a:solidFill>
            </a:rPr>
            <a:t> any unused cells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</a:rPr>
            <a:t>2) Populate all new parst to best of abilities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hristopher Dieringer" refreshedDate="41678.889699189815" createdVersion="4" refreshedVersion="4" minRefreshableVersion="3" recordCount="199">
  <cacheSource type="worksheet">
    <worksheetSource name="BOM"/>
  </cacheSource>
  <cacheFields count="7">
    <cacheField name="BOM Level" numFmtId="0">
      <sharedItems containsSemiMixedTypes="0" containsString="0" containsNumber="1" containsInteger="1" minValue="0" maxValue="3"/>
    </cacheField>
    <cacheField name="Part" numFmtId="0">
      <sharedItems count="129">
        <s v="(SUPERBOM)"/>
        <s v="(post)"/>
        <s v="2020-800mm"/>
        <s v="open_rail-700mm"/>
        <s v="scrw_m5_10 (open_rail_kit_excess)"/>
        <s v="nut_extr_m5 (open_rail_kit_excess)"/>
        <s v="rp_base_vertex"/>
        <s v="motor_nema_17"/>
        <s v="belt_gt2_1700mm"/>
        <s v="gear_drive_belt_gt2"/>
        <s v="scrw_m3_set"/>
        <s v="2020-300mm"/>
        <s v="scrw_m4_10"/>
        <s v="wshr_m4"/>
        <s v="nut_m4_extr"/>
        <s v="scrw_m3_12"/>
        <s v="wshr_m3"/>
        <s v="scrw_m4_12"/>
        <s v="(carriage)"/>
        <s v="rp_plate_slider"/>
        <s v="open_rail_shim"/>
        <s v="open_rail_wheel_delrin"/>
        <s v="open_rail_wheel_sst"/>
        <s v="open_rail_bearing"/>
        <s v="open_rail_spacer_bearing"/>
        <s v="open_rail_shim_eccentric"/>
        <s v="open_rail_scrw_m5_std_wheel_mnt"/>
        <s v="open_rail_nut_m5"/>
        <s v="rp_flag_carriage"/>
        <s v="nut_m3_jam"/>
        <s v="nut_m3"/>
        <s v="scrw_m3_20"/>
        <s v="(rods)"/>
        <s v="rod_carbon_330mm"/>
        <s v="rod_ends"/>
        <s v="scrw_m3_15"/>
        <s v="scrw_m4_set_20"/>
        <s v="(bed)"/>
        <s v="pcb_heater"/>
        <s v="switch_thermal"/>
        <s v="scrw_finish_#6"/>
        <s v="bracket_heater_sppt_wood"/>
        <s v="bed_glass"/>
        <s v="(assy_bed_block)"/>
        <s v="tab_felt"/>
        <s v="rp_block_bed"/>
        <s v="(kit_bed_install)"/>
        <s v="scrw_m4_15"/>
        <s v="spring_m4"/>
        <s v="(post_top)"/>
        <s v="rp_upper_vertex"/>
        <s v="2020-371mm"/>
        <s v="wshr_m4_fender"/>
        <s v="nut_m4"/>
        <s v="bearing_624z"/>
        <s v="scrw_m4_25"/>
        <s v="(assy_opto)"/>
        <s v="rp_opto_mount"/>
        <s v="pcb_opto"/>
        <s v="(assy_pwr_spply)"/>
        <s v="power_supply"/>
        <s v="rp_bracket_pwr_spply_tab"/>
        <s v="bracket_power_supply_stablity_xy"/>
        <s v="(kit_spool_extruder_mount_framing)"/>
        <s v="bracket_tee_2020"/>
        <s v="2020-200mm"/>
        <s v="2020-50mm"/>
        <s v="2020-134mm"/>
        <s v="rp_extruder_join_upper"/>
        <s v="rp_extruder_join_lower"/>
        <s v="(kit_dual_extruder)"/>
        <s v="(kit_extruder_hw)"/>
        <s v="scrw_m3_10"/>
        <s v="scrw_m3_25"/>
        <s v="scrw_m3_35"/>
        <s v="bearing_608z"/>
        <s v="drive_filament_dia"/>
        <s v="scrw_m3_50"/>
        <s v="spring_m3_extruder"/>
        <s v="fitting_one_touch_4mm"/>
        <s v="(kit_extruder_1)"/>
        <s v="rp_extruder_cossel_bowder"/>
        <s v="rp_idler"/>
        <s v="rp_idler_strut"/>
        <s v="rp_idler_boss_bearing_8mm"/>
        <s v="motor_nema_17_geared_5.18_1"/>
        <s v="tubing_4mm_bowden_1000mm"/>
        <s v="(kit_extruder_2)"/>
        <s v="rp_extruder_cossel_bowder_mirrored"/>
        <s v="rp_idler_mirrored"/>
        <s v="(kit_dual_spool_mount)"/>
        <s v="rod_threaded_8mm-271mm"/>
        <s v="rp_bracket_axle_spool"/>
        <s v="(assy_end_effector)"/>
        <s v="rp_end_effector"/>
        <s v="(kit_dual_hot_end)"/>
        <s v="extruder_maker_gear"/>
        <s v="bracket_hot_end_groovemount_dual"/>
        <s v="(assy_ee_fan)"/>
        <s v="rp_mount_fan_ee"/>
        <s v="fan_40mm_12VDC"/>
        <s v="(kit_lower_electronics)"/>
        <s v="(RAMPS)"/>
        <s v="pcb_arduino_mega"/>
        <s v="pcb_RAMPS_stack"/>
        <s v="rp_bracket_RAMPS"/>
        <s v="rp_mount_fan_motor_drivers"/>
        <s v="pcb_fan_extension_board"/>
        <s v="pcb_sd_ramps_extension_board"/>
        <s v="(kit_frame_strut)"/>
        <s v="rp_bracket_lateral_sppt"/>
        <s v="rp_bracket_lateral_sppt_mirrored"/>
        <s v="wshr_4mm"/>
        <s v="scrw_m4_8"/>
        <s v="(kit_ducting)"/>
        <s v="wire_raceway_5in"/>
        <s v="wire_raceway_8in"/>
        <s v="wire_raceway_10in"/>
        <s v="wire_raceway_25in"/>
        <s v="wire_wrap_10ft"/>
        <s v="(misc parts)"/>
        <s v="cable_ribbon_10_conductor_15ft"/>
        <s v="2020_cap"/>
        <s v="epoxy_two_part"/>
        <s v="(kit_brace_vertex_top)"/>
        <s v="rp_brace_top_vertex"/>
        <s v="scrw_m4_20"/>
        <s v="brace_frame"/>
        <s v="brace_spacer"/>
      </sharedItems>
    </cacheField>
    <cacheField name="Qty" numFmtId="0">
      <sharedItems containsSemiMixedTypes="0" containsString="0" containsNumber="1" containsInteger="1" minValue="1" maxValue="18"/>
    </cacheField>
    <cacheField name="UOM" numFmtId="0">
      <sharedItems/>
    </cacheField>
    <cacheField name="Qty_Exploded" numFmtId="0">
      <sharedItems containsSemiMixedTypes="0" containsString="0" containsNumber="1" containsInteger="1" minValue="1" maxValue="45"/>
    </cacheField>
    <cacheField name="Vendor" numFmtId="0">
      <sharedItems containsBlank="1"/>
    </cacheField>
    <cacheField name="Phantom" numFmtId="0">
      <sharedItems count="2">
        <b v="1"/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">
  <r>
    <n v="0"/>
    <x v="0"/>
    <n v="1"/>
    <s v="ea"/>
    <n v="1"/>
    <m/>
    <x v="0"/>
  </r>
  <r>
    <n v="1"/>
    <x v="1"/>
    <n v="3"/>
    <s v="ea"/>
    <n v="3"/>
    <m/>
    <x v="0"/>
  </r>
  <r>
    <n v="2"/>
    <x v="2"/>
    <n v="1"/>
    <s v="ea"/>
    <n v="3"/>
    <m/>
    <x v="1"/>
  </r>
  <r>
    <n v="2"/>
    <x v="3"/>
    <n v="1"/>
    <s v="ea"/>
    <n v="3"/>
    <m/>
    <x v="1"/>
  </r>
  <r>
    <n v="2"/>
    <x v="4"/>
    <n v="15"/>
    <s v="ea"/>
    <n v="45"/>
    <m/>
    <x v="1"/>
  </r>
  <r>
    <n v="2"/>
    <x v="5"/>
    <n v="15"/>
    <s v="ea"/>
    <n v="45"/>
    <m/>
    <x v="1"/>
  </r>
  <r>
    <n v="2"/>
    <x v="6"/>
    <n v="1"/>
    <s v="ea"/>
    <n v="3"/>
    <m/>
    <x v="1"/>
  </r>
  <r>
    <n v="2"/>
    <x v="7"/>
    <n v="1"/>
    <s v="ea"/>
    <n v="3"/>
    <m/>
    <x v="1"/>
  </r>
  <r>
    <n v="2"/>
    <x v="8"/>
    <n v="1"/>
    <s v="ea"/>
    <n v="3"/>
    <m/>
    <x v="1"/>
  </r>
  <r>
    <n v="2"/>
    <x v="9"/>
    <n v="1"/>
    <s v="ea"/>
    <n v="3"/>
    <m/>
    <x v="1"/>
  </r>
  <r>
    <n v="2"/>
    <x v="10"/>
    <n v="1"/>
    <s v="ea"/>
    <n v="3"/>
    <m/>
    <x v="1"/>
  </r>
  <r>
    <n v="2"/>
    <x v="11"/>
    <n v="2"/>
    <s v="ea"/>
    <n v="6"/>
    <m/>
    <x v="1"/>
  </r>
  <r>
    <n v="2"/>
    <x v="12"/>
    <n v="8"/>
    <s v="ea"/>
    <n v="24"/>
    <m/>
    <x v="1"/>
  </r>
  <r>
    <n v="2"/>
    <x v="13"/>
    <n v="10"/>
    <s v="ea"/>
    <n v="30"/>
    <m/>
    <x v="1"/>
  </r>
  <r>
    <n v="2"/>
    <x v="14"/>
    <n v="10"/>
    <s v="ea"/>
    <n v="30"/>
    <m/>
    <x v="1"/>
  </r>
  <r>
    <n v="2"/>
    <x v="15"/>
    <n v="4"/>
    <s v="ea"/>
    <n v="12"/>
    <m/>
    <x v="1"/>
  </r>
  <r>
    <n v="2"/>
    <x v="16"/>
    <n v="4"/>
    <s v="ea"/>
    <n v="12"/>
    <m/>
    <x v="1"/>
  </r>
  <r>
    <n v="2"/>
    <x v="17"/>
    <n v="2"/>
    <s v="ea"/>
    <n v="6"/>
    <m/>
    <x v="1"/>
  </r>
  <r>
    <n v="2"/>
    <x v="18"/>
    <n v="1"/>
    <s v="ea"/>
    <n v="3"/>
    <m/>
    <x v="0"/>
  </r>
  <r>
    <n v="3"/>
    <x v="19"/>
    <n v="1"/>
    <s v="ea"/>
    <n v="3"/>
    <m/>
    <x v="1"/>
  </r>
  <r>
    <n v="3"/>
    <x v="20"/>
    <n v="2"/>
    <s v="ea"/>
    <n v="6"/>
    <m/>
    <x v="1"/>
  </r>
  <r>
    <n v="3"/>
    <x v="21"/>
    <n v="2"/>
    <s v="ea"/>
    <n v="6"/>
    <m/>
    <x v="1"/>
  </r>
  <r>
    <n v="3"/>
    <x v="22"/>
    <n v="2"/>
    <s v="ea"/>
    <n v="6"/>
    <m/>
    <x v="1"/>
  </r>
  <r>
    <n v="3"/>
    <x v="23"/>
    <n v="8"/>
    <s v="ea"/>
    <n v="24"/>
    <m/>
    <x v="1"/>
  </r>
  <r>
    <n v="3"/>
    <x v="24"/>
    <n v="4"/>
    <s v="ea"/>
    <n v="12"/>
    <m/>
    <x v="1"/>
  </r>
  <r>
    <n v="3"/>
    <x v="25"/>
    <n v="2"/>
    <s v="ea"/>
    <n v="6"/>
    <m/>
    <x v="1"/>
  </r>
  <r>
    <n v="3"/>
    <x v="26"/>
    <n v="4"/>
    <s v="ea"/>
    <n v="12"/>
    <m/>
    <x v="1"/>
  </r>
  <r>
    <n v="3"/>
    <x v="27"/>
    <n v="4"/>
    <s v="ea"/>
    <n v="12"/>
    <m/>
    <x v="1"/>
  </r>
  <r>
    <n v="3"/>
    <x v="28"/>
    <n v="1"/>
    <s v="ea"/>
    <n v="3"/>
    <m/>
    <x v="1"/>
  </r>
  <r>
    <n v="3"/>
    <x v="29"/>
    <n v="3"/>
    <s v="ea"/>
    <n v="9"/>
    <m/>
    <x v="1"/>
  </r>
  <r>
    <n v="3"/>
    <x v="16"/>
    <n v="3"/>
    <s v="ea"/>
    <n v="9"/>
    <m/>
    <x v="1"/>
  </r>
  <r>
    <n v="3"/>
    <x v="30"/>
    <n v="3"/>
    <s v="ea"/>
    <n v="9"/>
    <m/>
    <x v="1"/>
  </r>
  <r>
    <n v="3"/>
    <x v="31"/>
    <n v="2"/>
    <s v="ea"/>
    <n v="6"/>
    <m/>
    <x v="1"/>
  </r>
  <r>
    <n v="1"/>
    <x v="32"/>
    <n v="6"/>
    <s v="ea"/>
    <n v="6"/>
    <m/>
    <x v="0"/>
  </r>
  <r>
    <n v="2"/>
    <x v="33"/>
    <n v="1"/>
    <s v="ea"/>
    <n v="6"/>
    <m/>
    <x v="1"/>
  </r>
  <r>
    <n v="2"/>
    <x v="34"/>
    <n v="2"/>
    <s v="ea"/>
    <n v="12"/>
    <s v="klj"/>
    <x v="1"/>
  </r>
  <r>
    <n v="2"/>
    <x v="35"/>
    <n v="2"/>
    <s v="ea"/>
    <n v="12"/>
    <m/>
    <x v="1"/>
  </r>
  <r>
    <n v="2"/>
    <x v="16"/>
    <n v="4"/>
    <s v="ea"/>
    <n v="24"/>
    <m/>
    <x v="1"/>
  </r>
  <r>
    <n v="2"/>
    <x v="36"/>
    <n v="2"/>
    <s v="ea"/>
    <n v="12"/>
    <m/>
    <x v="1"/>
  </r>
  <r>
    <n v="1"/>
    <x v="37"/>
    <n v="1"/>
    <s v="ea"/>
    <n v="1"/>
    <m/>
    <x v="0"/>
  </r>
  <r>
    <n v="2"/>
    <x v="38"/>
    <n v="1"/>
    <s v="ea"/>
    <n v="1"/>
    <m/>
    <x v="1"/>
  </r>
  <r>
    <n v="2"/>
    <x v="39"/>
    <n v="1"/>
    <s v="ea"/>
    <n v="1"/>
    <s v="150C NC Temperature Switch Ceramic Thermostat KSD301 2 Pcs"/>
    <x v="1"/>
  </r>
  <r>
    <n v="2"/>
    <x v="40"/>
    <n v="1"/>
    <s v="ea"/>
    <n v="1"/>
    <m/>
    <x v="1"/>
  </r>
  <r>
    <n v="2"/>
    <x v="41"/>
    <n v="1"/>
    <s v="ea"/>
    <n v="1"/>
    <m/>
    <x v="1"/>
  </r>
  <r>
    <n v="2"/>
    <x v="42"/>
    <n v="1"/>
    <s v="ea"/>
    <n v="1"/>
    <m/>
    <x v="1"/>
  </r>
  <r>
    <n v="2"/>
    <x v="43"/>
    <n v="3"/>
    <s v="ea"/>
    <n v="3"/>
    <m/>
    <x v="0"/>
  </r>
  <r>
    <n v="3"/>
    <x v="31"/>
    <n v="2"/>
    <s v="ea"/>
    <n v="6"/>
    <m/>
    <x v="1"/>
  </r>
  <r>
    <n v="3"/>
    <x v="30"/>
    <n v="2"/>
    <s v="ea"/>
    <n v="6"/>
    <m/>
    <x v="1"/>
  </r>
  <r>
    <n v="3"/>
    <x v="44"/>
    <n v="1"/>
    <s v="ea"/>
    <n v="3"/>
    <m/>
    <x v="1"/>
  </r>
  <r>
    <n v="3"/>
    <x v="45"/>
    <n v="1"/>
    <s v="ea"/>
    <n v="3"/>
    <m/>
    <x v="1"/>
  </r>
  <r>
    <n v="3"/>
    <x v="17"/>
    <n v="1"/>
    <s v="ea"/>
    <n v="3"/>
    <m/>
    <x v="1"/>
  </r>
  <r>
    <n v="3"/>
    <x v="13"/>
    <n v="1"/>
    <s v="ea"/>
    <n v="3"/>
    <m/>
    <x v="1"/>
  </r>
  <r>
    <n v="3"/>
    <x v="14"/>
    <n v="1"/>
    <s v="ea"/>
    <n v="3"/>
    <m/>
    <x v="1"/>
  </r>
  <r>
    <n v="2"/>
    <x v="46"/>
    <n v="6"/>
    <s v="ea"/>
    <n v="6"/>
    <m/>
    <x v="0"/>
  </r>
  <r>
    <n v="3"/>
    <x v="13"/>
    <n v="3"/>
    <s v="ea"/>
    <n v="18"/>
    <m/>
    <x v="1"/>
  </r>
  <r>
    <n v="3"/>
    <x v="47"/>
    <n v="1"/>
    <s v="ea"/>
    <n v="6"/>
    <m/>
    <x v="1"/>
  </r>
  <r>
    <n v="3"/>
    <x v="48"/>
    <n v="1"/>
    <s v="ea"/>
    <n v="6"/>
    <s v="http://www.homedepot.com/p/Everbilt-Spring-Assortment-Kit-84-Pack-15642/202045461"/>
    <x v="1"/>
  </r>
  <r>
    <n v="3"/>
    <x v="14"/>
    <n v="1"/>
    <s v="ea"/>
    <n v="6"/>
    <m/>
    <x v="1"/>
  </r>
  <r>
    <n v="1"/>
    <x v="49"/>
    <n v="3"/>
    <s v="ea"/>
    <n v="3"/>
    <m/>
    <x v="0"/>
  </r>
  <r>
    <n v="2"/>
    <x v="50"/>
    <n v="1"/>
    <s v="ea"/>
    <n v="3"/>
    <m/>
    <x v="1"/>
  </r>
  <r>
    <n v="2"/>
    <x v="51"/>
    <n v="1"/>
    <s v="ea"/>
    <n v="3"/>
    <m/>
    <x v="1"/>
  </r>
  <r>
    <n v="2"/>
    <x v="14"/>
    <n v="4"/>
    <s v="ea"/>
    <n v="12"/>
    <m/>
    <x v="1"/>
  </r>
  <r>
    <n v="2"/>
    <x v="47"/>
    <n v="4"/>
    <s v="ea"/>
    <n v="12"/>
    <m/>
    <x v="1"/>
  </r>
  <r>
    <n v="2"/>
    <x v="13"/>
    <n v="8"/>
    <s v="ea"/>
    <n v="24"/>
    <m/>
    <x v="1"/>
  </r>
  <r>
    <n v="2"/>
    <x v="52"/>
    <n v="1"/>
    <s v="ea"/>
    <n v="3"/>
    <m/>
    <x v="1"/>
  </r>
  <r>
    <n v="2"/>
    <x v="53"/>
    <n v="1"/>
    <s v="ea"/>
    <n v="3"/>
    <m/>
    <x v="1"/>
  </r>
  <r>
    <n v="2"/>
    <x v="54"/>
    <n v="2"/>
    <s v="ea"/>
    <n v="6"/>
    <m/>
    <x v="1"/>
  </r>
  <r>
    <n v="2"/>
    <x v="55"/>
    <n v="1"/>
    <s v="ea"/>
    <n v="3"/>
    <m/>
    <x v="1"/>
  </r>
  <r>
    <n v="2"/>
    <x v="17"/>
    <n v="1"/>
    <s v="ea"/>
    <n v="3"/>
    <m/>
    <x v="1"/>
  </r>
  <r>
    <n v="2"/>
    <x v="56"/>
    <n v="1"/>
    <s v="ea"/>
    <n v="3"/>
    <m/>
    <x v="0"/>
  </r>
  <r>
    <n v="3"/>
    <x v="57"/>
    <n v="1"/>
    <s v="ea"/>
    <n v="3"/>
    <m/>
    <x v="1"/>
  </r>
  <r>
    <n v="3"/>
    <x v="20"/>
    <n v="1"/>
    <s v="ea"/>
    <n v="3"/>
    <m/>
    <x v="1"/>
  </r>
  <r>
    <n v="3"/>
    <x v="47"/>
    <n v="1"/>
    <s v="ea"/>
    <n v="3"/>
    <m/>
    <x v="1"/>
  </r>
  <r>
    <n v="3"/>
    <x v="14"/>
    <n v="1"/>
    <s v="ea"/>
    <n v="3"/>
    <m/>
    <x v="1"/>
  </r>
  <r>
    <n v="3"/>
    <x v="52"/>
    <n v="1"/>
    <s v="ea"/>
    <n v="3"/>
    <m/>
    <x v="1"/>
  </r>
  <r>
    <n v="3"/>
    <x v="13"/>
    <n v="1"/>
    <s v="ea"/>
    <n v="3"/>
    <m/>
    <x v="1"/>
  </r>
  <r>
    <n v="3"/>
    <x v="13"/>
    <n v="1"/>
    <s v="ea"/>
    <n v="3"/>
    <m/>
    <x v="1"/>
  </r>
  <r>
    <n v="3"/>
    <x v="15"/>
    <n v="2"/>
    <s v="ea"/>
    <n v="6"/>
    <m/>
    <x v="1"/>
  </r>
  <r>
    <n v="3"/>
    <x v="16"/>
    <n v="4"/>
    <s v="ea"/>
    <n v="12"/>
    <m/>
    <x v="1"/>
  </r>
  <r>
    <n v="3"/>
    <x v="30"/>
    <n v="2"/>
    <s v="ea"/>
    <n v="6"/>
    <m/>
    <x v="1"/>
  </r>
  <r>
    <n v="3"/>
    <x v="58"/>
    <n v="1"/>
    <s v="ea"/>
    <n v="3"/>
    <m/>
    <x v="1"/>
  </r>
  <r>
    <n v="1"/>
    <x v="59"/>
    <n v="1"/>
    <s v="ea"/>
    <n v="1"/>
    <m/>
    <x v="0"/>
  </r>
  <r>
    <n v="2"/>
    <x v="60"/>
    <n v="1"/>
    <s v="ea"/>
    <n v="1"/>
    <m/>
    <x v="1"/>
  </r>
  <r>
    <n v="2"/>
    <x v="61"/>
    <n v="2"/>
    <s v="ea"/>
    <n v="2"/>
    <m/>
    <x v="1"/>
  </r>
  <r>
    <n v="2"/>
    <x v="62"/>
    <n v="1"/>
    <s v="ea"/>
    <n v="1"/>
    <m/>
    <x v="1"/>
  </r>
  <r>
    <n v="2"/>
    <x v="12"/>
    <n v="5"/>
    <s v="ea"/>
    <n v="5"/>
    <m/>
    <x v="1"/>
  </r>
  <r>
    <n v="2"/>
    <x v="14"/>
    <n v="5"/>
    <s v="ea"/>
    <n v="5"/>
    <m/>
    <x v="1"/>
  </r>
  <r>
    <n v="2"/>
    <x v="13"/>
    <n v="5"/>
    <s v="ea"/>
    <n v="5"/>
    <m/>
    <x v="1"/>
  </r>
  <r>
    <n v="1"/>
    <x v="63"/>
    <n v="1"/>
    <s v="ea"/>
    <n v="1"/>
    <m/>
    <x v="0"/>
  </r>
  <r>
    <n v="2"/>
    <x v="64"/>
    <n v="9"/>
    <s v="ea"/>
    <n v="9"/>
    <m/>
    <x v="1"/>
  </r>
  <r>
    <n v="2"/>
    <x v="5"/>
    <n v="18"/>
    <s v="ea"/>
    <n v="18"/>
    <m/>
    <x v="1"/>
  </r>
  <r>
    <n v="2"/>
    <x v="4"/>
    <n v="18"/>
    <s v="ea"/>
    <n v="18"/>
    <m/>
    <x v="1"/>
  </r>
  <r>
    <n v="2"/>
    <x v="65"/>
    <n v="3"/>
    <s v="ea"/>
    <n v="3"/>
    <m/>
    <x v="1"/>
  </r>
  <r>
    <n v="2"/>
    <x v="11"/>
    <n v="1"/>
    <s v="ea"/>
    <n v="1"/>
    <m/>
    <x v="1"/>
  </r>
  <r>
    <n v="2"/>
    <x v="66"/>
    <n v="2"/>
    <s v="ea"/>
    <n v="2"/>
    <m/>
    <x v="1"/>
  </r>
  <r>
    <n v="2"/>
    <x v="67"/>
    <n v="1"/>
    <s v="ea"/>
    <n v="1"/>
    <m/>
    <x v="1"/>
  </r>
  <r>
    <n v="2"/>
    <x v="68"/>
    <n v="1"/>
    <s v="ea"/>
    <n v="1"/>
    <m/>
    <x v="1"/>
  </r>
  <r>
    <n v="2"/>
    <x v="69"/>
    <n v="1"/>
    <s v="ea"/>
    <n v="1"/>
    <m/>
    <x v="1"/>
  </r>
  <r>
    <n v="2"/>
    <x v="13"/>
    <n v="4"/>
    <s v="ea"/>
    <n v="4"/>
    <m/>
    <x v="1"/>
  </r>
  <r>
    <n v="2"/>
    <x v="12"/>
    <n v="4"/>
    <s v="ea"/>
    <n v="4"/>
    <m/>
    <x v="1"/>
  </r>
  <r>
    <n v="1"/>
    <x v="70"/>
    <n v="1"/>
    <s v="ea"/>
    <n v="1"/>
    <m/>
    <x v="0"/>
  </r>
  <r>
    <n v="2"/>
    <x v="71"/>
    <n v="2"/>
    <s v="ea"/>
    <n v="2"/>
    <m/>
    <x v="0"/>
  </r>
  <r>
    <n v="3"/>
    <x v="5"/>
    <n v="2"/>
    <s v="ea"/>
    <n v="4"/>
    <m/>
    <x v="1"/>
  </r>
  <r>
    <n v="3"/>
    <x v="4"/>
    <n v="2"/>
    <s v="ea"/>
    <n v="4"/>
    <m/>
    <x v="1"/>
  </r>
  <r>
    <n v="3"/>
    <x v="72"/>
    <n v="4"/>
    <s v="ea"/>
    <n v="8"/>
    <m/>
    <x v="1"/>
  </r>
  <r>
    <n v="3"/>
    <x v="30"/>
    <n v="2"/>
    <s v="ea"/>
    <n v="4"/>
    <m/>
    <x v="1"/>
  </r>
  <r>
    <n v="3"/>
    <x v="73"/>
    <n v="1"/>
    <s v="ea"/>
    <n v="2"/>
    <m/>
    <x v="1"/>
  </r>
  <r>
    <n v="3"/>
    <x v="74"/>
    <n v="1"/>
    <s v="ea"/>
    <n v="2"/>
    <m/>
    <x v="1"/>
  </r>
  <r>
    <n v="3"/>
    <x v="75"/>
    <n v="2"/>
    <s v="ea"/>
    <n v="4"/>
    <m/>
    <x v="1"/>
  </r>
  <r>
    <n v="3"/>
    <x v="76"/>
    <n v="1"/>
    <s v="ea"/>
    <n v="2"/>
    <m/>
    <x v="1"/>
  </r>
  <r>
    <n v="3"/>
    <x v="10"/>
    <n v="1"/>
    <s v="ea"/>
    <n v="2"/>
    <m/>
    <x v="1"/>
  </r>
  <r>
    <n v="3"/>
    <x v="77"/>
    <n v="2"/>
    <s v="ea"/>
    <n v="4"/>
    <m/>
    <x v="1"/>
  </r>
  <r>
    <n v="3"/>
    <x v="78"/>
    <n v="2"/>
    <s v="ea"/>
    <n v="4"/>
    <m/>
    <x v="1"/>
  </r>
  <r>
    <n v="3"/>
    <x v="16"/>
    <n v="4"/>
    <s v="ea"/>
    <n v="8"/>
    <m/>
    <x v="1"/>
  </r>
  <r>
    <n v="3"/>
    <x v="29"/>
    <n v="2"/>
    <s v="ea"/>
    <n v="4"/>
    <m/>
    <x v="1"/>
  </r>
  <r>
    <n v="3"/>
    <x v="27"/>
    <n v="1"/>
    <s v="ea"/>
    <n v="2"/>
    <m/>
    <x v="1"/>
  </r>
  <r>
    <n v="3"/>
    <x v="79"/>
    <n v="1"/>
    <s v="ea"/>
    <n v="2"/>
    <m/>
    <x v="1"/>
  </r>
  <r>
    <n v="2"/>
    <x v="80"/>
    <n v="1"/>
    <s v="ea"/>
    <n v="1"/>
    <m/>
    <x v="0"/>
  </r>
  <r>
    <n v="3"/>
    <x v="81"/>
    <n v="1"/>
    <s v="ea"/>
    <n v="1"/>
    <m/>
    <x v="1"/>
  </r>
  <r>
    <n v="3"/>
    <x v="82"/>
    <n v="1"/>
    <s v="ea"/>
    <n v="1"/>
    <m/>
    <x v="1"/>
  </r>
  <r>
    <n v="3"/>
    <x v="83"/>
    <n v="1"/>
    <s v="ea"/>
    <n v="1"/>
    <m/>
    <x v="1"/>
  </r>
  <r>
    <n v="3"/>
    <x v="84"/>
    <n v="1"/>
    <s v="ea"/>
    <n v="1"/>
    <m/>
    <x v="1"/>
  </r>
  <r>
    <n v="3"/>
    <x v="85"/>
    <n v="1"/>
    <s v="ea"/>
    <n v="1"/>
    <m/>
    <x v="1"/>
  </r>
  <r>
    <n v="3"/>
    <x v="86"/>
    <n v="1"/>
    <s v="ea"/>
    <n v="1"/>
    <m/>
    <x v="1"/>
  </r>
  <r>
    <n v="2"/>
    <x v="87"/>
    <n v="1"/>
    <s v="ea"/>
    <n v="1"/>
    <m/>
    <x v="0"/>
  </r>
  <r>
    <n v="3"/>
    <x v="88"/>
    <n v="1"/>
    <s v="ea"/>
    <n v="1"/>
    <m/>
    <x v="1"/>
  </r>
  <r>
    <n v="3"/>
    <x v="89"/>
    <n v="1"/>
    <s v="ea"/>
    <n v="1"/>
    <m/>
    <x v="1"/>
  </r>
  <r>
    <n v="3"/>
    <x v="83"/>
    <n v="1"/>
    <s v="ea"/>
    <n v="1"/>
    <m/>
    <x v="1"/>
  </r>
  <r>
    <n v="3"/>
    <x v="84"/>
    <n v="1"/>
    <s v="ea"/>
    <n v="1"/>
    <m/>
    <x v="1"/>
  </r>
  <r>
    <n v="3"/>
    <x v="85"/>
    <n v="1"/>
    <s v="ea"/>
    <n v="1"/>
    <m/>
    <x v="1"/>
  </r>
  <r>
    <n v="3"/>
    <x v="86"/>
    <n v="1"/>
    <s v="ea"/>
    <n v="1"/>
    <m/>
    <x v="1"/>
  </r>
  <r>
    <n v="1"/>
    <x v="90"/>
    <n v="1"/>
    <s v="ea"/>
    <n v="1"/>
    <m/>
    <x v="0"/>
  </r>
  <r>
    <n v="2"/>
    <x v="91"/>
    <n v="1"/>
    <s v="ea"/>
    <n v="1"/>
    <m/>
    <x v="1"/>
  </r>
  <r>
    <n v="2"/>
    <x v="92"/>
    <n v="3"/>
    <s v="ea"/>
    <n v="3"/>
    <m/>
    <x v="1"/>
  </r>
  <r>
    <n v="2"/>
    <x v="12"/>
    <n v="6"/>
    <s v="ea"/>
    <n v="6"/>
    <m/>
    <x v="1"/>
  </r>
  <r>
    <n v="2"/>
    <x v="13"/>
    <n v="6"/>
    <s v="ea"/>
    <n v="6"/>
    <m/>
    <x v="1"/>
  </r>
  <r>
    <n v="2"/>
    <x v="14"/>
    <n v="6"/>
    <s v="ea"/>
    <n v="6"/>
    <m/>
    <x v="1"/>
  </r>
  <r>
    <n v="1"/>
    <x v="93"/>
    <n v="1"/>
    <s v="ea"/>
    <n v="1"/>
    <m/>
    <x v="0"/>
  </r>
  <r>
    <n v="2"/>
    <x v="94"/>
    <n v="1"/>
    <s v="ea"/>
    <n v="1"/>
    <m/>
    <x v="1"/>
  </r>
  <r>
    <n v="2"/>
    <x v="95"/>
    <n v="1"/>
    <s v="ea"/>
    <n v="1"/>
    <m/>
    <x v="0"/>
  </r>
  <r>
    <n v="3"/>
    <x v="96"/>
    <n v="2"/>
    <s v="ea"/>
    <n v="2"/>
    <m/>
    <x v="1"/>
  </r>
  <r>
    <n v="3"/>
    <x v="79"/>
    <n v="2"/>
    <s v="ea"/>
    <n v="2"/>
    <m/>
    <x v="1"/>
  </r>
  <r>
    <n v="3"/>
    <x v="5"/>
    <n v="2"/>
    <s v="ea"/>
    <n v="2"/>
    <m/>
    <x v="1"/>
  </r>
  <r>
    <n v="2"/>
    <x v="97"/>
    <n v="1"/>
    <s v="ea"/>
    <n v="1"/>
    <m/>
    <x v="1"/>
  </r>
  <r>
    <n v="2"/>
    <x v="53"/>
    <n v="4"/>
    <s v="ea"/>
    <n v="4"/>
    <m/>
    <x v="1"/>
  </r>
  <r>
    <n v="2"/>
    <x v="47"/>
    <n v="4"/>
    <s v="ea"/>
    <n v="4"/>
    <m/>
    <x v="1"/>
  </r>
  <r>
    <n v="2"/>
    <x v="13"/>
    <n v="4"/>
    <s v="ea"/>
    <n v="4"/>
    <m/>
    <x v="1"/>
  </r>
  <r>
    <n v="2"/>
    <x v="30"/>
    <n v="6"/>
    <s v="ea"/>
    <n v="6"/>
    <m/>
    <x v="1"/>
  </r>
  <r>
    <n v="2"/>
    <x v="98"/>
    <n v="1"/>
    <s v="ea"/>
    <n v="1"/>
    <m/>
    <x v="0"/>
  </r>
  <r>
    <n v="3"/>
    <x v="55"/>
    <n v="1"/>
    <s v="ea"/>
    <n v="1"/>
    <m/>
    <x v="1"/>
  </r>
  <r>
    <n v="3"/>
    <x v="13"/>
    <n v="1"/>
    <s v="ea"/>
    <n v="1"/>
    <m/>
    <x v="1"/>
  </r>
  <r>
    <n v="3"/>
    <x v="53"/>
    <n v="1"/>
    <s v="ea"/>
    <n v="1"/>
    <m/>
    <x v="1"/>
  </r>
  <r>
    <n v="3"/>
    <x v="99"/>
    <n v="1"/>
    <s v="ea"/>
    <n v="1"/>
    <m/>
    <x v="1"/>
  </r>
  <r>
    <n v="3"/>
    <x v="100"/>
    <n v="1"/>
    <s v="ea"/>
    <n v="1"/>
    <m/>
    <x v="1"/>
  </r>
  <r>
    <n v="3"/>
    <x v="35"/>
    <n v="2"/>
    <s v="ea"/>
    <n v="2"/>
    <m/>
    <x v="1"/>
  </r>
  <r>
    <n v="3"/>
    <x v="16"/>
    <n v="2"/>
    <s v="ea"/>
    <n v="2"/>
    <m/>
    <x v="1"/>
  </r>
  <r>
    <n v="3"/>
    <x v="30"/>
    <n v="2"/>
    <s v="ea"/>
    <n v="2"/>
    <m/>
    <x v="1"/>
  </r>
  <r>
    <n v="3"/>
    <x v="48"/>
    <n v="1"/>
    <s v="ea"/>
    <n v="1"/>
    <m/>
    <x v="1"/>
  </r>
  <r>
    <n v="1"/>
    <x v="101"/>
    <n v="1"/>
    <s v="ea"/>
    <n v="1"/>
    <m/>
    <x v="0"/>
  </r>
  <r>
    <n v="2"/>
    <x v="102"/>
    <n v="1"/>
    <s v="ea"/>
    <n v="1"/>
    <m/>
    <x v="0"/>
  </r>
  <r>
    <n v="3"/>
    <x v="103"/>
    <n v="1"/>
    <s v="ea"/>
    <n v="1"/>
    <m/>
    <x v="1"/>
  </r>
  <r>
    <n v="3"/>
    <x v="104"/>
    <n v="1"/>
    <s v="ea"/>
    <n v="1"/>
    <m/>
    <x v="1"/>
  </r>
  <r>
    <n v="2"/>
    <x v="105"/>
    <n v="1"/>
    <s v="ea"/>
    <n v="1"/>
    <m/>
    <x v="1"/>
  </r>
  <r>
    <n v="2"/>
    <x v="31"/>
    <n v="5"/>
    <s v="ea"/>
    <n v="5"/>
    <m/>
    <x v="1"/>
  </r>
  <r>
    <n v="2"/>
    <x v="30"/>
    <n v="2"/>
    <s v="ea"/>
    <n v="2"/>
    <m/>
    <x v="1"/>
  </r>
  <r>
    <n v="2"/>
    <x v="16"/>
    <n v="2"/>
    <s v="ea"/>
    <n v="2"/>
    <m/>
    <x v="1"/>
  </r>
  <r>
    <n v="2"/>
    <x v="100"/>
    <n v="1"/>
    <s v="ea"/>
    <n v="1"/>
    <m/>
    <x v="1"/>
  </r>
  <r>
    <n v="2"/>
    <x v="106"/>
    <n v="1"/>
    <s v="ea"/>
    <n v="1"/>
    <m/>
    <x v="1"/>
  </r>
  <r>
    <n v="2"/>
    <x v="107"/>
    <n v="1"/>
    <s v="ea"/>
    <n v="1"/>
    <m/>
    <x v="1"/>
  </r>
  <r>
    <n v="2"/>
    <x v="108"/>
    <n v="1"/>
    <s v="ea"/>
    <n v="1"/>
    <m/>
    <x v="1"/>
  </r>
  <r>
    <n v="1"/>
    <x v="109"/>
    <n v="4"/>
    <s v="ea"/>
    <n v="4"/>
    <m/>
    <x v="0"/>
  </r>
  <r>
    <n v="2"/>
    <x v="110"/>
    <n v="1"/>
    <s v="ea"/>
    <n v="4"/>
    <m/>
    <x v="1"/>
  </r>
  <r>
    <n v="2"/>
    <x v="111"/>
    <n v="1"/>
    <s v="ea"/>
    <n v="4"/>
    <m/>
    <x v="1"/>
  </r>
  <r>
    <n v="2"/>
    <x v="51"/>
    <n v="1"/>
    <s v="ea"/>
    <n v="4"/>
    <m/>
    <x v="1"/>
  </r>
  <r>
    <n v="2"/>
    <x v="112"/>
    <n v="2"/>
    <s v="ea"/>
    <n v="8"/>
    <m/>
    <x v="1"/>
  </r>
  <r>
    <n v="2"/>
    <x v="12"/>
    <n v="2"/>
    <s v="ea"/>
    <n v="8"/>
    <m/>
    <x v="1"/>
  </r>
  <r>
    <n v="2"/>
    <x v="113"/>
    <n v="2"/>
    <s v="ea"/>
    <n v="8"/>
    <m/>
    <x v="1"/>
  </r>
  <r>
    <n v="1"/>
    <x v="114"/>
    <n v="1"/>
    <s v="ea"/>
    <n v="1"/>
    <s v="F.75X1.5LG6 (panduit / panduct)"/>
    <x v="0"/>
  </r>
  <r>
    <n v="2"/>
    <x v="115"/>
    <n v="2"/>
    <s v="ea"/>
    <n v="2"/>
    <m/>
    <x v="1"/>
  </r>
  <r>
    <n v="2"/>
    <x v="116"/>
    <n v="1"/>
    <s v="ea"/>
    <n v="1"/>
    <m/>
    <x v="1"/>
  </r>
  <r>
    <n v="2"/>
    <x v="117"/>
    <n v="1"/>
    <s v="ea"/>
    <n v="1"/>
    <m/>
    <x v="1"/>
  </r>
  <r>
    <n v="2"/>
    <x v="118"/>
    <n v="1"/>
    <s v="ea"/>
    <n v="1"/>
    <m/>
    <x v="1"/>
  </r>
  <r>
    <n v="2"/>
    <x v="119"/>
    <n v="1"/>
    <s v="ea"/>
    <n v="1"/>
    <s v="http://www.amazon.com/Vaisis-Spiral-Harness-Outside-Diameter/dp/B003PR6KUO/ref=sr_1_17?s=electronics&amp;ie=UTF8&amp;qid=1391851443&amp;sr=1-17&amp;keywords=cable+wrap"/>
    <x v="1"/>
  </r>
  <r>
    <n v="2"/>
    <x v="14"/>
    <n v="14"/>
    <s v="ea"/>
    <n v="14"/>
    <m/>
    <x v="1"/>
  </r>
  <r>
    <n v="2"/>
    <x v="113"/>
    <n v="14"/>
    <s v="ea"/>
    <n v="14"/>
    <m/>
    <x v="1"/>
  </r>
  <r>
    <n v="2"/>
    <x v="13"/>
    <n v="14"/>
    <s v="ea"/>
    <n v="14"/>
    <m/>
    <x v="1"/>
  </r>
  <r>
    <n v="1"/>
    <x v="120"/>
    <n v="1"/>
    <s v="ea"/>
    <n v="1"/>
    <m/>
    <x v="0"/>
  </r>
  <r>
    <n v="2"/>
    <x v="121"/>
    <n v="2"/>
    <s v="ea"/>
    <n v="2"/>
    <m/>
    <x v="1"/>
  </r>
  <r>
    <n v="2"/>
    <x v="122"/>
    <n v="16"/>
    <s v="ea"/>
    <n v="16"/>
    <m/>
    <x v="1"/>
  </r>
  <r>
    <n v="2"/>
    <x v="123"/>
    <n v="1"/>
    <s v="ea"/>
    <n v="1"/>
    <m/>
    <x v="1"/>
  </r>
  <r>
    <n v="2"/>
    <x v="124"/>
    <n v="3"/>
    <s v="ea"/>
    <n v="3"/>
    <m/>
    <x v="0"/>
  </r>
  <r>
    <n v="3"/>
    <x v="125"/>
    <n v="1"/>
    <s v="ea"/>
    <n v="3"/>
    <m/>
    <x v="1"/>
  </r>
  <r>
    <n v="3"/>
    <x v="17"/>
    <n v="6"/>
    <s v="ea"/>
    <n v="18"/>
    <m/>
    <x v="1"/>
  </r>
  <r>
    <n v="3"/>
    <x v="13"/>
    <n v="10"/>
    <s v="ea"/>
    <n v="30"/>
    <m/>
    <x v="1"/>
  </r>
  <r>
    <n v="3"/>
    <x v="53"/>
    <n v="4"/>
    <s v="ea"/>
    <n v="12"/>
    <m/>
    <x v="1"/>
  </r>
  <r>
    <n v="3"/>
    <x v="126"/>
    <n v="4"/>
    <s v="ea"/>
    <n v="12"/>
    <m/>
    <x v="1"/>
  </r>
  <r>
    <n v="3"/>
    <x v="14"/>
    <n v="4"/>
    <s v="ea"/>
    <n v="12"/>
    <m/>
    <x v="1"/>
  </r>
  <r>
    <n v="3"/>
    <x v="127"/>
    <n v="2"/>
    <s v="ea"/>
    <n v="6"/>
    <m/>
    <x v="1"/>
  </r>
  <r>
    <n v="3"/>
    <x v="128"/>
    <n v="4"/>
    <s v="ea"/>
    <n v="12"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latOBOMPivot" cacheId="16" applyNumberFormats="0" applyBorderFormats="0" applyFontFormats="0" applyPatternFormats="0" applyAlignmentFormats="0" applyWidthHeightFormats="1" dataCaption="Values" updatedVersion="4" minRefreshableVersion="3" useAutoFormatting="1" rowGrandTotals="0" itemPrintTitles="1" createdVersion="4" indent="0" outline="1" outlineData="1" multipleFieldFilters="0" rowHeaderCaption="Part">
  <location ref="A3:B107" firstHeaderRow="1" firstDataRow="1" firstDataCol="1" rowPageCount="1" colPageCount="1"/>
  <pivotFields count="7">
    <pivotField showAll="0"/>
    <pivotField axis="axisRow" showAll="0">
      <items count="130">
        <item x="43"/>
        <item x="98"/>
        <item x="93"/>
        <item x="56"/>
        <item x="59"/>
        <item x="37"/>
        <item x="18"/>
        <item x="46"/>
        <item x="124"/>
        <item x="70"/>
        <item x="95"/>
        <item x="90"/>
        <item x="114"/>
        <item x="80"/>
        <item x="87"/>
        <item x="71"/>
        <item x="109"/>
        <item x="101"/>
        <item x="63"/>
        <item x="120"/>
        <item x="1"/>
        <item x="49"/>
        <item x="102"/>
        <item x="32"/>
        <item x="0"/>
        <item x="122"/>
        <item x="67"/>
        <item x="65"/>
        <item x="11"/>
        <item x="51"/>
        <item x="66"/>
        <item x="2"/>
        <item x="75"/>
        <item x="54"/>
        <item x="42"/>
        <item x="8"/>
        <item x="127"/>
        <item x="128"/>
        <item x="41"/>
        <item x="97"/>
        <item x="62"/>
        <item x="64"/>
        <item x="121"/>
        <item x="76"/>
        <item x="123"/>
        <item x="96"/>
        <item x="100"/>
        <item x="79"/>
        <item x="9"/>
        <item x="7"/>
        <item x="85"/>
        <item x="5"/>
        <item x="30"/>
        <item x="29"/>
        <item x="53"/>
        <item x="14"/>
        <item x="23"/>
        <item x="27"/>
        <item x="26"/>
        <item x="20"/>
        <item x="25"/>
        <item x="24"/>
        <item x="21"/>
        <item x="22"/>
        <item x="3"/>
        <item x="103"/>
        <item x="107"/>
        <item x="38"/>
        <item x="58"/>
        <item x="104"/>
        <item x="108"/>
        <item x="60"/>
        <item x="33"/>
        <item x="34"/>
        <item x="91"/>
        <item x="6"/>
        <item x="45"/>
        <item x="125"/>
        <item x="92"/>
        <item x="110"/>
        <item x="111"/>
        <item x="61"/>
        <item x="105"/>
        <item x="94"/>
        <item x="81"/>
        <item x="88"/>
        <item x="69"/>
        <item x="68"/>
        <item x="28"/>
        <item x="82"/>
        <item x="84"/>
        <item x="89"/>
        <item x="83"/>
        <item x="99"/>
        <item x="106"/>
        <item x="57"/>
        <item x="19"/>
        <item x="50"/>
        <item x="40"/>
        <item x="72"/>
        <item x="15"/>
        <item x="35"/>
        <item x="31"/>
        <item x="73"/>
        <item x="74"/>
        <item x="77"/>
        <item x="10"/>
        <item x="12"/>
        <item x="17"/>
        <item x="47"/>
        <item x="126"/>
        <item x="55"/>
        <item x="113"/>
        <item x="36"/>
        <item x="4"/>
        <item x="78"/>
        <item x="48"/>
        <item x="39"/>
        <item x="44"/>
        <item x="86"/>
        <item x="117"/>
        <item x="118"/>
        <item x="115"/>
        <item x="116"/>
        <item x="119"/>
        <item x="112"/>
        <item x="16"/>
        <item x="13"/>
        <item x="52"/>
        <item t="default"/>
      </items>
    </pivotField>
    <pivotField showAll="0"/>
    <pivotField showAll="0"/>
    <pivotField dataField="1" showAll="0"/>
    <pivotField showAll="0"/>
    <pivotField axis="axisPage" showAll="0">
      <items count="3">
        <item x="1"/>
        <item x="0"/>
        <item t="default"/>
      </items>
    </pivotField>
  </pivotFields>
  <rowFields count="1">
    <field x="1"/>
  </rowFields>
  <rowItems count="104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</rowItems>
  <colItems count="1">
    <i/>
  </colItems>
  <pageFields count="1">
    <pageField fld="6" item="0" hier="-1"/>
  </pageFields>
  <dataFields count="1">
    <dataField name="Total Qty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BOM" displayName="BOM" ref="D1:J200" totalsRowShown="0">
  <autoFilter ref="D1:J200">
    <filterColumn colId="1">
      <filters>
        <filter val="rp_base_vertex"/>
        <filter val="rp_block_bed"/>
        <filter val="rp_brace_top_vertex"/>
        <filter val="rp_bracket_axle_spool"/>
        <filter val="rp_bracket_lateral_sppt"/>
        <filter val="rp_bracket_lateral_sppt_mirrored"/>
        <filter val="rp_bracket_pwr_spply_tab"/>
        <filter val="rp_bracket_RAMPS"/>
        <filter val="rp_end_effector"/>
        <filter val="rp_extruder_cossel_bowder"/>
        <filter val="rp_extruder_cossel_bowder_mirrored"/>
        <filter val="rp_extruder_join_lower"/>
        <filter val="rp_extruder_join_upper"/>
        <filter val="rp_flag_carriage"/>
        <filter val="rp_idler"/>
        <filter val="rp_idler_boss_bearing_8mm"/>
        <filter val="rp_idler_mirrored"/>
        <filter val="rp_idler_strut"/>
        <filter val="rp_mount_fan_ee"/>
        <filter val="rp_mount_fan_motor_drivers"/>
        <filter val="rp_opto_mount"/>
        <filter val="rp_plate_slider"/>
        <filter val="rp_upper_vertex"/>
      </filters>
    </filterColumn>
  </autoFilter>
  <tableColumns count="7">
    <tableColumn id="1" name="BOM Level"/>
    <tableColumn id="2" name="Part"/>
    <tableColumn id="3" name="Qty"/>
    <tableColumn id="4" name="UOM"/>
    <tableColumn id="5" name="Qty_Exploded">
      <calculatedColumnFormula>F2*A2</calculatedColumnFormula>
    </tableColumn>
    <tableColumn id="6" name="Vendor"/>
    <tableColumn id="7" name="Phantom" dataDxfId="0">
      <calculatedColumnFormula>IF(MID(ExplodedBOM!$E2,1,1)="(",TRUE,FALSE)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://www.homedepot.com/p/Everbilt-Spring-Assortment-Kit-84-Pack-15642/202045461" TargetMode="External"/><Relationship Id="rId7" Type="http://schemas.openxmlformats.org/officeDocument/2006/relationships/table" Target="../tables/table1.xml"/><Relationship Id="rId2" Type="http://schemas.openxmlformats.org/officeDocument/2006/relationships/hyperlink" Target="http://www.amazon.com/Vaisis-Spiral-Harness-Outside-Diameter/dp/B003PR6KUO/ref=sr_1_17?s=electronics&amp;ie=UTF8&amp;qid=1391851443&amp;sr=1-17&amp;keywords=cable+wrap" TargetMode="External"/><Relationship Id="rId1" Type="http://schemas.openxmlformats.org/officeDocument/2006/relationships/hyperlink" Target="http://www.panduit.com/wcs/Satellite?pagename=PG_Wrapper&amp;friendlyurl=/en/products-and-services/products/wiring-duc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openbuildspartstore.com/openrail-black-anodized/" TargetMode="External"/><Relationship Id="rId13" Type="http://schemas.openxmlformats.org/officeDocument/2006/relationships/hyperlink" Target="http://us.misumi-ec.com/" TargetMode="External"/><Relationship Id="rId18" Type="http://schemas.openxmlformats.org/officeDocument/2006/relationships/hyperlink" Target="http://www.amazon.com/dp/B00AM42V6U/ref=biss_dp_sa1" TargetMode="External"/><Relationship Id="rId26" Type="http://schemas.openxmlformats.org/officeDocument/2006/relationships/hyperlink" Target="https://ultimachine.com/content/arduino-mega-2560-r3" TargetMode="External"/><Relationship Id="rId39" Type="http://schemas.openxmlformats.org/officeDocument/2006/relationships/hyperlink" Target="http://www.mcmaster.com/" TargetMode="External"/><Relationship Id="rId3" Type="http://schemas.openxmlformats.org/officeDocument/2006/relationships/hyperlink" Target="http://www.mcmaster.com/" TargetMode="External"/><Relationship Id="rId21" Type="http://schemas.openxmlformats.org/officeDocument/2006/relationships/hyperlink" Target="http://www.fastenal.com/web/products/details/1L2530000A20000?searchMode=productSearch&amp;zipcode=&amp;filterByStore=&amp;filterByVendingMachine=" TargetMode="External"/><Relationship Id="rId34" Type="http://schemas.openxmlformats.org/officeDocument/2006/relationships/hyperlink" Target="http://www.homedepot.com/p/Everbilt-Spring-Assortment-Kit-84-Pack-15642/202045461" TargetMode="External"/><Relationship Id="rId42" Type="http://schemas.openxmlformats.org/officeDocument/2006/relationships/hyperlink" Target="http://seemecnc.com/products/boroscillicate-glass-build-plate-300mm" TargetMode="External"/><Relationship Id="rId7" Type="http://schemas.openxmlformats.org/officeDocument/2006/relationships/hyperlink" Target="http://openbuildspartstore.com/gt2-2mm-aluminum-timing-pulley-20/" TargetMode="External"/><Relationship Id="rId12" Type="http://schemas.openxmlformats.org/officeDocument/2006/relationships/hyperlink" Target="http://openbuildspartstore.com/gt2-2mm-timing-belt/" TargetMode="External"/><Relationship Id="rId17" Type="http://schemas.openxmlformats.org/officeDocument/2006/relationships/hyperlink" Target="http://www.amazon.com/Gelid-Solutions-Silent-40mm-FN-SX04-42/dp/B00BF3S83C/ref=sr_1_6?s=electronics&amp;ie=UTF8&amp;qid=1391904001&amp;sr=1-6&amp;keywords=40mm+fan" TargetMode="External"/><Relationship Id="rId25" Type="http://schemas.openxmlformats.org/officeDocument/2006/relationships/hyperlink" Target="https://ultimachine.com/content/prusa-pcb-heated-bed" TargetMode="External"/><Relationship Id="rId33" Type="http://schemas.openxmlformats.org/officeDocument/2006/relationships/hyperlink" Target="http://www.amazon.com/Amico-Thermostat-Temperature-Control-Celsius/dp/B007Q81IQY" TargetMode="External"/><Relationship Id="rId38" Type="http://schemas.openxmlformats.org/officeDocument/2006/relationships/hyperlink" Target="http://www.fastenal.com/web/products/details/11511778?isPunchout=false" TargetMode="External"/><Relationship Id="rId2" Type="http://schemas.openxmlformats.org/officeDocument/2006/relationships/hyperlink" Target="http://www.mcmaster.com/" TargetMode="External"/><Relationship Id="rId16" Type="http://schemas.openxmlformats.org/officeDocument/2006/relationships/hyperlink" Target="http://reprap.org/wiki/Drive-gear" TargetMode="External"/><Relationship Id="rId20" Type="http://schemas.openxmlformats.org/officeDocument/2006/relationships/hyperlink" Target="http://www.fastenal.com/web/products/details/1L2510000A20000?searchMode=productSearch&amp;zipcode=&amp;filterByStore=&amp;filterByVendingMachine=" TargetMode="External"/><Relationship Id="rId29" Type="http://schemas.openxmlformats.org/officeDocument/2006/relationships/hyperlink" Target="http://www.amazon.com/Traxxas-5347-Hollow-Balls-Large/dp/B000BOLVJY" TargetMode="External"/><Relationship Id="rId41" Type="http://schemas.openxmlformats.org/officeDocument/2006/relationships/hyperlink" Target="http://www.ponoko.com/design-your-own/products/cossel-wood-plate-11227" TargetMode="External"/><Relationship Id="rId1" Type="http://schemas.openxmlformats.org/officeDocument/2006/relationships/hyperlink" Target="http://www.mcmaster.com/" TargetMode="External"/><Relationship Id="rId6" Type="http://schemas.openxmlformats.org/officeDocument/2006/relationships/hyperlink" Target="http://openbuildspartstore.com/eccentric-spacers/" TargetMode="External"/><Relationship Id="rId11" Type="http://schemas.openxmlformats.org/officeDocument/2006/relationships/hyperlink" Target="http://openbuildspartstore.com/openbuilds-dual-v-wheel-kit-delrin/" TargetMode="External"/><Relationship Id="rId24" Type="http://schemas.openxmlformats.org/officeDocument/2006/relationships/hyperlink" Target="https://ultimachine.com/oek" TargetMode="External"/><Relationship Id="rId32" Type="http://schemas.openxmlformats.org/officeDocument/2006/relationships/hyperlink" Target="http://www.phidgets.com/products.php?product_id=3317" TargetMode="External"/><Relationship Id="rId37" Type="http://schemas.openxmlformats.org/officeDocument/2006/relationships/hyperlink" Target="http://www.amazon.com/Devcon-2-Ton-Crystal-Clear-0-84-Ounce/dp/B0006O8QQ0/ref=sr_1_1?s=toys-and-games&amp;ie=UTF8&amp;qid=1391907029&amp;sr=1-1&amp;keywords=two+part+epoxy" TargetMode="External"/><Relationship Id="rId40" Type="http://schemas.openxmlformats.org/officeDocument/2006/relationships/hyperlink" Target="http://www.ponoko.com/design-your-own/products/cossel-wood-plate-11227" TargetMode="External"/><Relationship Id="rId5" Type="http://schemas.openxmlformats.org/officeDocument/2006/relationships/hyperlink" Target="http://www.newegg.com/Product/Product.aspx?Item=N82E16817153167" TargetMode="External"/><Relationship Id="rId15" Type="http://schemas.openxmlformats.org/officeDocument/2006/relationships/hyperlink" Target="http://www.amazon.com/Amico-Single-Shielded-Groove-Bearing/dp/B00AUB7M3C/ref=sr_1_1?ie=UTF8&amp;qid=1391903417&amp;sr=8-1&amp;keywords=624z" TargetMode="External"/><Relationship Id="rId23" Type="http://schemas.openxmlformats.org/officeDocument/2006/relationships/hyperlink" Target="https://ultimachine.com/ramps-pre-assembled-kit-complete" TargetMode="External"/><Relationship Id="rId28" Type="http://schemas.openxmlformats.org/officeDocument/2006/relationships/hyperlink" Target="http://www.geeetech.com/wiki/index.php/SD_for_RAMPS" TargetMode="External"/><Relationship Id="rId36" Type="http://schemas.openxmlformats.org/officeDocument/2006/relationships/hyperlink" Target="http://www.fastenal.com/web/products/details/MX2530020A20000?searchMode=productSearch&amp;zipcode=&amp;filterByStore=&amp;filterByVendingMachine=" TargetMode="External"/><Relationship Id="rId10" Type="http://schemas.openxmlformats.org/officeDocument/2006/relationships/hyperlink" Target="http://openbuildspartstore.com/openbuilds-dual-v-wheel-kit-metal/" TargetMode="External"/><Relationship Id="rId19" Type="http://schemas.openxmlformats.org/officeDocument/2006/relationships/hyperlink" Target="http://www.makershop.co.nz/PFA_4-2MM" TargetMode="External"/><Relationship Id="rId31" Type="http://schemas.openxmlformats.org/officeDocument/2006/relationships/hyperlink" Target="https://ultimachine.com/content/kysan-1124090-nema-17-stepper-motor" TargetMode="External"/><Relationship Id="rId4" Type="http://schemas.openxmlformats.org/officeDocument/2006/relationships/hyperlink" Target="http://www.mcmaster.com/" TargetMode="External"/><Relationship Id="rId9" Type="http://schemas.openxmlformats.org/officeDocument/2006/relationships/hyperlink" Target="http://openbuildspartstore.com/openrail-black-anodized/" TargetMode="External"/><Relationship Id="rId14" Type="http://schemas.openxmlformats.org/officeDocument/2006/relationships/hyperlink" Target="http://www.amazon.com/Amico-Single-Shielded-Miniature-Bearings/dp/B00843OUNI/ref=sr_1_1?ie=UTF8&amp;qid=1391903370&amp;sr=8-1&amp;keywords=608z" TargetMode="External"/><Relationship Id="rId22" Type="http://schemas.openxmlformats.org/officeDocument/2006/relationships/hyperlink" Target="http://www.fastenal.com/web/products/details/MJ2510000A20000?searchMode=productSearch&amp;zipcode=&amp;filterByStore=&amp;filterByVendingMachine=" TargetMode="External"/><Relationship Id="rId27" Type="http://schemas.openxmlformats.org/officeDocument/2006/relationships/hyperlink" Target="http://www.geeetech.com/wiki/index.php/Reprap_Ramps1.4_RRD_Fan_Extender" TargetMode="External"/><Relationship Id="rId30" Type="http://schemas.openxmlformats.org/officeDocument/2006/relationships/hyperlink" Target="http://reprap.org/wiki/Threaded_rod" TargetMode="External"/><Relationship Id="rId35" Type="http://schemas.openxmlformats.org/officeDocument/2006/relationships/hyperlink" Target="http://www.homedepot.com/p/Everbilt-Spring-Assortment-Kit-84-Pack-15642/202045461" TargetMode="External"/><Relationship Id="rId43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00"/>
  <sheetViews>
    <sheetView workbookViewId="0">
      <selection activeCell="E120" sqref="E120"/>
    </sheetView>
  </sheetViews>
  <sheetFormatPr defaultRowHeight="15" x14ac:dyDescent="0.25"/>
  <cols>
    <col min="1" max="1" width="2.7109375" customWidth="1"/>
    <col min="2" max="2" width="6" customWidth="1"/>
    <col min="3" max="3" width="4" customWidth="1"/>
    <col min="4" max="4" width="17.7109375" customWidth="1"/>
    <col min="5" max="5" width="41.5703125" customWidth="1"/>
    <col min="8" max="8" width="15.5703125" customWidth="1"/>
    <col min="9" max="9" width="9.7109375" customWidth="1"/>
    <col min="10" max="10" width="11.140625" customWidth="1"/>
    <col min="11" max="11" width="24.42578125" customWidth="1"/>
  </cols>
  <sheetData>
    <row r="1" spans="1:10" x14ac:dyDescent="0.25">
      <c r="A1" t="s">
        <v>108</v>
      </c>
      <c r="B1" t="s">
        <v>106</v>
      </c>
      <c r="C1" t="s">
        <v>117</v>
      </c>
      <c r="D1" t="s">
        <v>118</v>
      </c>
      <c r="E1" t="s">
        <v>109</v>
      </c>
      <c r="F1" t="s">
        <v>110</v>
      </c>
      <c r="G1" t="s">
        <v>111</v>
      </c>
      <c r="H1" t="s">
        <v>112</v>
      </c>
      <c r="I1" t="s">
        <v>113</v>
      </c>
      <c r="J1" t="s">
        <v>114</v>
      </c>
    </row>
    <row r="2" spans="1:10" hidden="1" x14ac:dyDescent="0.25">
      <c r="A2" s="1">
        <f>F2</f>
        <v>1</v>
      </c>
      <c r="B2" s="1">
        <v>1</v>
      </c>
      <c r="D2">
        <v>0</v>
      </c>
      <c r="E2" t="s">
        <v>107</v>
      </c>
      <c r="F2">
        <v>1</v>
      </c>
      <c r="G2" t="s">
        <v>2</v>
      </c>
      <c r="H2">
        <f>F2*A2</f>
        <v>1</v>
      </c>
      <c r="J2" t="b">
        <f>IF(MID(ExplodedBOM!$E2,1,1)="(",TRUE,FALSE)</f>
        <v>1</v>
      </c>
    </row>
    <row r="3" spans="1:10" hidden="1" x14ac:dyDescent="0.25">
      <c r="A3">
        <f t="shared" ref="A3:A66" ca="1" si="0">IF(MID(E2,1,1)="(",F2*A2,
      IF(D3&lt;D2,INDIRECT("A" &amp; B3+1),A2)
)</f>
        <v>1</v>
      </c>
      <c r="B3" s="2">
        <f>SUMPRODUCT(MAX(ROW($2:3)*($D$2:D3=(D3-1))))</f>
        <v>2</v>
      </c>
      <c r="C3" s="2"/>
      <c r="D3">
        <v>1</v>
      </c>
      <c r="E3" t="s">
        <v>8</v>
      </c>
      <c r="F3">
        <v>3</v>
      </c>
      <c r="G3" t="s">
        <v>2</v>
      </c>
      <c r="H3">
        <f t="shared" ref="H3:H66" ca="1" si="1">F3*A3</f>
        <v>3</v>
      </c>
      <c r="J3" t="b">
        <f>IF(MID(ExplodedBOM!$E3,1,1)="(",TRUE,FALSE)</f>
        <v>1</v>
      </c>
    </row>
    <row r="4" spans="1:10" hidden="1" x14ac:dyDescent="0.25">
      <c r="A4">
        <f t="shared" ca="1" si="0"/>
        <v>3</v>
      </c>
      <c r="B4" s="2">
        <f>SUMPRODUCT(MAX(ROW($2:4)*($D$2:D4=(D4-1))))</f>
        <v>3</v>
      </c>
      <c r="C4" s="2"/>
      <c r="D4">
        <v>2</v>
      </c>
      <c r="E4" t="s">
        <v>0</v>
      </c>
      <c r="F4">
        <v>1</v>
      </c>
      <c r="G4" t="s">
        <v>2</v>
      </c>
      <c r="H4">
        <f t="shared" ca="1" si="1"/>
        <v>3</v>
      </c>
      <c r="J4" t="b">
        <f>IF(MID(ExplodedBOM!$E4,1,1)="(",TRUE,FALSE)</f>
        <v>0</v>
      </c>
    </row>
    <row r="5" spans="1:10" hidden="1" x14ac:dyDescent="0.25">
      <c r="A5">
        <f t="shared" ca="1" si="0"/>
        <v>3</v>
      </c>
      <c r="B5" s="2">
        <f>SUMPRODUCT(MAX(ROW($2:5)*($D$2:D5=(D5-1))))</f>
        <v>3</v>
      </c>
      <c r="C5" s="2"/>
      <c r="D5">
        <v>2</v>
      </c>
      <c r="E5" t="s">
        <v>1</v>
      </c>
      <c r="F5">
        <v>1</v>
      </c>
      <c r="G5" t="s">
        <v>2</v>
      </c>
      <c r="H5">
        <f t="shared" ca="1" si="1"/>
        <v>3</v>
      </c>
      <c r="J5" t="b">
        <f>IF(MID(ExplodedBOM!$E5,1,1)="(",TRUE,FALSE)</f>
        <v>0</v>
      </c>
    </row>
    <row r="6" spans="1:10" hidden="1" x14ac:dyDescent="0.25">
      <c r="A6">
        <f t="shared" ca="1" si="0"/>
        <v>3</v>
      </c>
      <c r="B6" s="2">
        <f>SUMPRODUCT(MAX(ROW($2:6)*($D$2:D6=(D6-1))))</f>
        <v>3</v>
      </c>
      <c r="C6" s="2"/>
      <c r="D6">
        <v>2</v>
      </c>
      <c r="E6" t="s">
        <v>179</v>
      </c>
      <c r="F6">
        <v>15</v>
      </c>
      <c r="G6" t="s">
        <v>2</v>
      </c>
      <c r="H6">
        <f t="shared" ca="1" si="1"/>
        <v>45</v>
      </c>
      <c r="J6" t="b">
        <f>IF(MID(ExplodedBOM!$E6,1,1)="(",TRUE,FALSE)</f>
        <v>0</v>
      </c>
    </row>
    <row r="7" spans="1:10" hidden="1" x14ac:dyDescent="0.25">
      <c r="A7">
        <f t="shared" ca="1" si="0"/>
        <v>3</v>
      </c>
      <c r="B7" s="2">
        <f>SUMPRODUCT(MAX(ROW($2:7)*($D$2:D7=(D7-1))))</f>
        <v>3</v>
      </c>
      <c r="C7" s="2"/>
      <c r="D7">
        <v>2</v>
      </c>
      <c r="E7" t="s">
        <v>53</v>
      </c>
      <c r="F7">
        <v>15</v>
      </c>
      <c r="G7" t="s">
        <v>2</v>
      </c>
      <c r="H7">
        <f t="shared" ca="1" si="1"/>
        <v>45</v>
      </c>
      <c r="J7" t="b">
        <f>IF(MID(ExplodedBOM!$E7,1,1)="(",TRUE,FALSE)</f>
        <v>0</v>
      </c>
    </row>
    <row r="8" spans="1:10" x14ac:dyDescent="0.25">
      <c r="A8">
        <f t="shared" ca="1" si="0"/>
        <v>3</v>
      </c>
      <c r="B8" s="2">
        <f>SUMPRODUCT(MAX(ROW($2:8)*($D$2:D8=(D8-1))))</f>
        <v>3</v>
      </c>
      <c r="C8" s="2"/>
      <c r="D8">
        <v>2</v>
      </c>
      <c r="E8" t="s">
        <v>3</v>
      </c>
      <c r="F8">
        <v>1</v>
      </c>
      <c r="G8" t="s">
        <v>2</v>
      </c>
      <c r="H8">
        <f t="shared" ca="1" si="1"/>
        <v>3</v>
      </c>
      <c r="J8" t="b">
        <f>IF(MID(ExplodedBOM!$E8,1,1)="(",TRUE,FALSE)</f>
        <v>0</v>
      </c>
    </row>
    <row r="9" spans="1:10" hidden="1" x14ac:dyDescent="0.25">
      <c r="A9">
        <f t="shared" ca="1" si="0"/>
        <v>3</v>
      </c>
      <c r="B9" s="2">
        <f>SUMPRODUCT(MAX(ROW($2:9)*($D$2:D9=(D9-1))))</f>
        <v>3</v>
      </c>
      <c r="C9" s="2"/>
      <c r="D9">
        <v>2</v>
      </c>
      <c r="E9" t="s">
        <v>133</v>
      </c>
      <c r="F9">
        <v>1</v>
      </c>
      <c r="G9" t="s">
        <v>2</v>
      </c>
      <c r="H9">
        <f t="shared" ca="1" si="1"/>
        <v>3</v>
      </c>
      <c r="J9" t="b">
        <f>IF(MID(ExplodedBOM!$E9,1,1)="(",TRUE,FALSE)</f>
        <v>0</v>
      </c>
    </row>
    <row r="10" spans="1:10" hidden="1" x14ac:dyDescent="0.25">
      <c r="A10">
        <f t="shared" ca="1" si="0"/>
        <v>3</v>
      </c>
      <c r="B10" s="2">
        <f>SUMPRODUCT(MAX(ROW($2:10)*($D$2:D10=(D10-1))))</f>
        <v>3</v>
      </c>
      <c r="C10" s="2"/>
      <c r="D10">
        <v>2</v>
      </c>
      <c r="E10" t="s">
        <v>119</v>
      </c>
      <c r="F10">
        <v>1</v>
      </c>
      <c r="G10" t="s">
        <v>2</v>
      </c>
      <c r="H10">
        <f t="shared" ca="1" si="1"/>
        <v>3</v>
      </c>
      <c r="J10" t="b">
        <f>IF(MID(ExplodedBOM!$E10,1,1)="(",TRUE,FALSE)</f>
        <v>0</v>
      </c>
    </row>
    <row r="11" spans="1:10" hidden="1" x14ac:dyDescent="0.25">
      <c r="A11">
        <f t="shared" ca="1" si="0"/>
        <v>3</v>
      </c>
      <c r="B11" s="2">
        <f>SUMPRODUCT(MAX(ROW($2:11)*($D$2:D11=(D11-1))))</f>
        <v>3</v>
      </c>
      <c r="C11" s="2"/>
      <c r="D11">
        <v>2</v>
      </c>
      <c r="E11" t="s">
        <v>105</v>
      </c>
      <c r="F11">
        <v>1</v>
      </c>
      <c r="G11" t="s">
        <v>2</v>
      </c>
      <c r="H11">
        <f t="shared" ca="1" si="1"/>
        <v>3</v>
      </c>
      <c r="J11" t="b">
        <f>IF(MID(ExplodedBOM!$E11,1,1)="(",TRUE,FALSE)</f>
        <v>0</v>
      </c>
    </row>
    <row r="12" spans="1:10" hidden="1" x14ac:dyDescent="0.25">
      <c r="A12">
        <f t="shared" ca="1" si="0"/>
        <v>3</v>
      </c>
      <c r="B12" s="2">
        <f>SUMPRODUCT(MAX(ROW($2:12)*($D$2:D12=(D12-1))))</f>
        <v>3</v>
      </c>
      <c r="C12" s="2"/>
      <c r="D12">
        <v>2</v>
      </c>
      <c r="E12" t="s">
        <v>245</v>
      </c>
      <c r="F12">
        <v>1</v>
      </c>
      <c r="G12" t="s">
        <v>2</v>
      </c>
      <c r="H12">
        <f t="shared" ca="1" si="1"/>
        <v>3</v>
      </c>
      <c r="J12" t="b">
        <f>IF(MID(ExplodedBOM!$E12,1,1)="(",TRUE,FALSE)</f>
        <v>0</v>
      </c>
    </row>
    <row r="13" spans="1:10" hidden="1" x14ac:dyDescent="0.25">
      <c r="A13">
        <f t="shared" ca="1" si="0"/>
        <v>3</v>
      </c>
      <c r="B13" s="2">
        <f>SUMPRODUCT(MAX(ROW($2:13)*($D$2:D13=(D13-1))))</f>
        <v>3</v>
      </c>
      <c r="C13" s="2"/>
      <c r="D13">
        <v>2</v>
      </c>
      <c r="E13" t="s">
        <v>4</v>
      </c>
      <c r="F13">
        <v>2</v>
      </c>
      <c r="G13" t="s">
        <v>2</v>
      </c>
      <c r="H13">
        <f t="shared" ca="1" si="1"/>
        <v>6</v>
      </c>
      <c r="J13" t="b">
        <f>IF(MID(ExplodedBOM!$E13,1,1)="(",TRUE,FALSE)</f>
        <v>0</v>
      </c>
    </row>
    <row r="14" spans="1:10" hidden="1" x14ac:dyDescent="0.25">
      <c r="A14">
        <f t="shared" ca="1" si="0"/>
        <v>3</v>
      </c>
      <c r="B14" s="2">
        <f>SUMPRODUCT(MAX(ROW($2:14)*($D$2:D14=(D14-1))))</f>
        <v>3</v>
      </c>
      <c r="C14" s="2"/>
      <c r="D14">
        <v>2</v>
      </c>
      <c r="E14" t="s">
        <v>30</v>
      </c>
      <c r="F14">
        <v>8</v>
      </c>
      <c r="G14" t="s">
        <v>2</v>
      </c>
      <c r="H14">
        <f t="shared" ca="1" si="1"/>
        <v>24</v>
      </c>
      <c r="J14" t="b">
        <f>IF(MID(ExplodedBOM!$E14,1,1)="(",TRUE,FALSE)</f>
        <v>0</v>
      </c>
    </row>
    <row r="15" spans="1:10" hidden="1" x14ac:dyDescent="0.25">
      <c r="A15">
        <f t="shared" ca="1" si="0"/>
        <v>3</v>
      </c>
      <c r="B15" s="2">
        <f>SUMPRODUCT(MAX(ROW($2:15)*($D$2:D15=(D15-1))))</f>
        <v>3</v>
      </c>
      <c r="C15" s="2"/>
      <c r="D15">
        <v>2</v>
      </c>
      <c r="E15" t="s">
        <v>5</v>
      </c>
      <c r="F15">
        <v>10</v>
      </c>
      <c r="G15" t="s">
        <v>2</v>
      </c>
      <c r="H15">
        <f t="shared" ca="1" si="1"/>
        <v>30</v>
      </c>
      <c r="J15" t="b">
        <f>IF(MID(ExplodedBOM!$E15,1,1)="(",TRUE,FALSE)</f>
        <v>0</v>
      </c>
    </row>
    <row r="16" spans="1:10" hidden="1" x14ac:dyDescent="0.25">
      <c r="A16">
        <f t="shared" ca="1" si="0"/>
        <v>3</v>
      </c>
      <c r="B16" s="2">
        <f>SUMPRODUCT(MAX(ROW($2:16)*($D$2:D16=(D16-1))))</f>
        <v>3</v>
      </c>
      <c r="C16" s="2"/>
      <c r="D16">
        <v>2</v>
      </c>
      <c r="E16" t="s">
        <v>269</v>
      </c>
      <c r="F16">
        <v>10</v>
      </c>
      <c r="G16" t="s">
        <v>2</v>
      </c>
      <c r="H16">
        <f t="shared" ca="1" si="1"/>
        <v>30</v>
      </c>
      <c r="J16" t="b">
        <f>IF(MID(ExplodedBOM!$E16,1,1)="(",TRUE,FALSE)</f>
        <v>0</v>
      </c>
    </row>
    <row r="17" spans="1:10" hidden="1" x14ac:dyDescent="0.25">
      <c r="A17">
        <f t="shared" ca="1" si="0"/>
        <v>3</v>
      </c>
      <c r="B17" s="2">
        <f>SUMPRODUCT(MAX(ROW($2:17)*($D$2:D17=(D17-1))))</f>
        <v>3</v>
      </c>
      <c r="C17" s="2"/>
      <c r="D17">
        <v>2</v>
      </c>
      <c r="E17" t="s">
        <v>46</v>
      </c>
      <c r="F17">
        <v>4</v>
      </c>
      <c r="G17" t="s">
        <v>2</v>
      </c>
      <c r="H17">
        <f t="shared" ca="1" si="1"/>
        <v>12</v>
      </c>
      <c r="J17" t="b">
        <f>IF(MID(ExplodedBOM!$E17,1,1)="(",TRUE,FALSE)</f>
        <v>0</v>
      </c>
    </row>
    <row r="18" spans="1:10" hidden="1" x14ac:dyDescent="0.25">
      <c r="A18">
        <f t="shared" ca="1" si="0"/>
        <v>3</v>
      </c>
      <c r="B18" s="2">
        <f>SUMPRODUCT(MAX(ROW($2:18)*($D$2:D18=(D18-1))))</f>
        <v>3</v>
      </c>
      <c r="C18" s="2"/>
      <c r="D18">
        <v>2</v>
      </c>
      <c r="E18" t="s">
        <v>6</v>
      </c>
      <c r="F18">
        <v>4</v>
      </c>
      <c r="G18" t="s">
        <v>2</v>
      </c>
      <c r="H18">
        <f t="shared" ca="1" si="1"/>
        <v>12</v>
      </c>
      <c r="J18" t="b">
        <f>IF(MID(ExplodedBOM!$E18,1,1)="(",TRUE,FALSE)</f>
        <v>0</v>
      </c>
    </row>
    <row r="19" spans="1:10" hidden="1" x14ac:dyDescent="0.25">
      <c r="A19">
        <f t="shared" ca="1" si="0"/>
        <v>3</v>
      </c>
      <c r="B19" s="2">
        <f>SUMPRODUCT(MAX(ROW($2:19)*($D$2:D19=(D19-1))))</f>
        <v>3</v>
      </c>
      <c r="C19" s="2"/>
      <c r="D19">
        <v>2</v>
      </c>
      <c r="E19" t="s">
        <v>244</v>
      </c>
      <c r="F19">
        <v>2</v>
      </c>
      <c r="G19" t="s">
        <v>2</v>
      </c>
      <c r="H19">
        <f t="shared" ca="1" si="1"/>
        <v>6</v>
      </c>
      <c r="J19" t="b">
        <f>IF(MID(ExplodedBOM!$E19,1,1)="(",TRUE,FALSE)</f>
        <v>0</v>
      </c>
    </row>
    <row r="20" spans="1:10" hidden="1" x14ac:dyDescent="0.25">
      <c r="A20">
        <f t="shared" ca="1" si="0"/>
        <v>3</v>
      </c>
      <c r="B20" s="2">
        <f>SUMPRODUCT(MAX(ROW($2:20)*($D$2:D20=(D20-1))))</f>
        <v>3</v>
      </c>
      <c r="C20" s="2"/>
      <c r="D20">
        <v>2</v>
      </c>
      <c r="E20" t="s">
        <v>7</v>
      </c>
      <c r="F20">
        <v>1</v>
      </c>
      <c r="G20" t="s">
        <v>2</v>
      </c>
      <c r="H20">
        <f t="shared" ca="1" si="1"/>
        <v>3</v>
      </c>
      <c r="J20" t="b">
        <f>IF(MID(ExplodedBOM!$E20,1,1)="(",TRUE,FALSE)</f>
        <v>1</v>
      </c>
    </row>
    <row r="21" spans="1:10" x14ac:dyDescent="0.25">
      <c r="A21">
        <f t="shared" ca="1" si="0"/>
        <v>3</v>
      </c>
      <c r="B21" s="2">
        <f>SUMPRODUCT(MAX(ROW($2:21)*($D$2:D21=(D21-1))))</f>
        <v>20</v>
      </c>
      <c r="C21" s="2"/>
      <c r="D21">
        <v>3</v>
      </c>
      <c r="E21" t="s">
        <v>9</v>
      </c>
      <c r="F21">
        <v>1</v>
      </c>
      <c r="G21" t="s">
        <v>2</v>
      </c>
      <c r="H21">
        <f t="shared" ca="1" si="1"/>
        <v>3</v>
      </c>
      <c r="J21" t="b">
        <f>IF(MID(ExplodedBOM!$E21,1,1)="(",TRUE,FALSE)</f>
        <v>0</v>
      </c>
    </row>
    <row r="22" spans="1:10" hidden="1" x14ac:dyDescent="0.25">
      <c r="A22">
        <f t="shared" ca="1" si="0"/>
        <v>3</v>
      </c>
      <c r="B22" s="2">
        <f>SUMPRODUCT(MAX(ROW($2:22)*($D$2:D22=(D22-1))))</f>
        <v>20</v>
      </c>
      <c r="C22" s="2"/>
      <c r="D22">
        <v>3</v>
      </c>
      <c r="E22" t="s">
        <v>10</v>
      </c>
      <c r="F22">
        <v>2</v>
      </c>
      <c r="G22" t="s">
        <v>2</v>
      </c>
      <c r="H22">
        <f t="shared" ca="1" si="1"/>
        <v>6</v>
      </c>
      <c r="J22" t="b">
        <f>IF(MID(ExplodedBOM!$E22,1,1)="(",TRUE,FALSE)</f>
        <v>0</v>
      </c>
    </row>
    <row r="23" spans="1:10" hidden="1" x14ac:dyDescent="0.25">
      <c r="A23">
        <f t="shared" ca="1" si="0"/>
        <v>3</v>
      </c>
      <c r="B23" s="2">
        <f>SUMPRODUCT(MAX(ROW($2:23)*($D$2:D23=(D23-1))))</f>
        <v>20</v>
      </c>
      <c r="C23" s="2"/>
      <c r="D23">
        <v>3</v>
      </c>
      <c r="E23" t="s">
        <v>11</v>
      </c>
      <c r="F23">
        <v>2</v>
      </c>
      <c r="G23" t="s">
        <v>2</v>
      </c>
      <c r="H23">
        <f t="shared" ca="1" si="1"/>
        <v>6</v>
      </c>
      <c r="J23" t="b">
        <f>IF(MID(ExplodedBOM!$E23,1,1)="(",TRUE,FALSE)</f>
        <v>0</v>
      </c>
    </row>
    <row r="24" spans="1:10" hidden="1" x14ac:dyDescent="0.25">
      <c r="A24">
        <f t="shared" ca="1" si="0"/>
        <v>3</v>
      </c>
      <c r="B24" s="2">
        <f>SUMPRODUCT(MAX(ROW($2:24)*($D$2:D24=(D24-1))))</f>
        <v>20</v>
      </c>
      <c r="C24" s="2"/>
      <c r="D24">
        <v>3</v>
      </c>
      <c r="E24" t="s">
        <v>12</v>
      </c>
      <c r="F24">
        <v>2</v>
      </c>
      <c r="G24" t="s">
        <v>2</v>
      </c>
      <c r="H24">
        <f t="shared" ca="1" si="1"/>
        <v>6</v>
      </c>
      <c r="J24" t="b">
        <f>IF(MID(ExplodedBOM!$E24,1,1)="(",TRUE,FALSE)</f>
        <v>0</v>
      </c>
    </row>
    <row r="25" spans="1:10" hidden="1" x14ac:dyDescent="0.25">
      <c r="A25">
        <f t="shared" ca="1" si="0"/>
        <v>3</v>
      </c>
      <c r="B25" s="2">
        <f>SUMPRODUCT(MAX(ROW($2:25)*($D$2:D25=(D25-1))))</f>
        <v>20</v>
      </c>
      <c r="C25" s="2"/>
      <c r="D25">
        <v>3</v>
      </c>
      <c r="E25" t="s">
        <v>18</v>
      </c>
      <c r="F25">
        <v>8</v>
      </c>
      <c r="G25" t="s">
        <v>2</v>
      </c>
      <c r="H25">
        <f t="shared" ca="1" si="1"/>
        <v>24</v>
      </c>
      <c r="J25" t="b">
        <f>IF(MID(ExplodedBOM!$E25,1,1)="(",TRUE,FALSE)</f>
        <v>0</v>
      </c>
    </row>
    <row r="26" spans="1:10" hidden="1" x14ac:dyDescent="0.25">
      <c r="A26">
        <f t="shared" ca="1" si="0"/>
        <v>3</v>
      </c>
      <c r="B26" s="2">
        <f>SUMPRODUCT(MAX(ROW($2:26)*($D$2:D26=(D26-1))))</f>
        <v>20</v>
      </c>
      <c r="C26" s="2"/>
      <c r="D26">
        <v>3</v>
      </c>
      <c r="E26" t="s">
        <v>19</v>
      </c>
      <c r="F26">
        <v>4</v>
      </c>
      <c r="G26" t="s">
        <v>2</v>
      </c>
      <c r="H26">
        <f t="shared" ca="1" si="1"/>
        <v>12</v>
      </c>
      <c r="J26" t="b">
        <f>IF(MID(ExplodedBOM!$E26,1,1)="(",TRUE,FALSE)</f>
        <v>0</v>
      </c>
    </row>
    <row r="27" spans="1:10" hidden="1" x14ac:dyDescent="0.25">
      <c r="A27">
        <f t="shared" ca="1" si="0"/>
        <v>3</v>
      </c>
      <c r="B27" s="2">
        <f>SUMPRODUCT(MAX(ROW($2:27)*($D$2:D27=(D27-1))))</f>
        <v>20</v>
      </c>
      <c r="C27" s="2"/>
      <c r="D27">
        <v>3</v>
      </c>
      <c r="E27" t="s">
        <v>17</v>
      </c>
      <c r="F27">
        <v>2</v>
      </c>
      <c r="G27" t="s">
        <v>2</v>
      </c>
      <c r="H27">
        <f t="shared" ca="1" si="1"/>
        <v>6</v>
      </c>
      <c r="J27" t="b">
        <f>IF(MID(ExplodedBOM!$E27,1,1)="(",TRUE,FALSE)</f>
        <v>0</v>
      </c>
    </row>
    <row r="28" spans="1:10" hidden="1" x14ac:dyDescent="0.25">
      <c r="A28">
        <f t="shared" ca="1" si="0"/>
        <v>3</v>
      </c>
      <c r="B28" s="2">
        <f>SUMPRODUCT(MAX(ROW($2:28)*($D$2:D28=(D28-1))))</f>
        <v>20</v>
      </c>
      <c r="C28" s="2"/>
      <c r="D28">
        <v>3</v>
      </c>
      <c r="E28" t="s">
        <v>212</v>
      </c>
      <c r="F28">
        <v>4</v>
      </c>
      <c r="G28" t="s">
        <v>2</v>
      </c>
      <c r="H28">
        <f t="shared" ca="1" si="1"/>
        <v>12</v>
      </c>
      <c r="J28" t="b">
        <f>IF(MID(ExplodedBOM!$E28,1,1)="(",TRUE,FALSE)</f>
        <v>0</v>
      </c>
    </row>
    <row r="29" spans="1:10" hidden="1" x14ac:dyDescent="0.25">
      <c r="A29">
        <f t="shared" ca="1" si="0"/>
        <v>3</v>
      </c>
      <c r="B29" s="2">
        <f>SUMPRODUCT(MAX(ROW($2:29)*($D$2:D29=(D29-1))))</f>
        <v>20</v>
      </c>
      <c r="C29" s="2"/>
      <c r="D29">
        <v>3</v>
      </c>
      <c r="E29" t="s">
        <v>16</v>
      </c>
      <c r="F29">
        <v>4</v>
      </c>
      <c r="G29" t="s">
        <v>2</v>
      </c>
      <c r="H29">
        <f t="shared" ca="1" si="1"/>
        <v>12</v>
      </c>
      <c r="J29" t="b">
        <f>IF(MID(ExplodedBOM!$E29,1,1)="(",TRUE,FALSE)</f>
        <v>0</v>
      </c>
    </row>
    <row r="30" spans="1:10" x14ac:dyDescent="0.25">
      <c r="A30">
        <f t="shared" ca="1" si="0"/>
        <v>3</v>
      </c>
      <c r="B30" s="2">
        <f>SUMPRODUCT(MAX(ROW($2:30)*($D$2:D30=(D30-1))))</f>
        <v>20</v>
      </c>
      <c r="C30" s="2"/>
      <c r="D30">
        <v>3</v>
      </c>
      <c r="E30" t="s">
        <v>13</v>
      </c>
      <c r="F30">
        <v>1</v>
      </c>
      <c r="G30" t="s">
        <v>2</v>
      </c>
      <c r="H30">
        <f t="shared" ca="1" si="1"/>
        <v>3</v>
      </c>
      <c r="J30" t="b">
        <f>IF(MID(ExplodedBOM!$E30,1,1)="(",TRUE,FALSE)</f>
        <v>0</v>
      </c>
    </row>
    <row r="31" spans="1:10" hidden="1" x14ac:dyDescent="0.25">
      <c r="A31">
        <f t="shared" ca="1" si="0"/>
        <v>3</v>
      </c>
      <c r="B31" s="2">
        <f>SUMPRODUCT(MAX(ROW($2:31)*($D$2:D31=(D31-1))))</f>
        <v>20</v>
      </c>
      <c r="C31" s="2"/>
      <c r="D31">
        <v>3</v>
      </c>
      <c r="E31" t="s">
        <v>14</v>
      </c>
      <c r="F31">
        <v>3</v>
      </c>
      <c r="G31" t="s">
        <v>2</v>
      </c>
      <c r="H31">
        <f t="shared" ca="1" si="1"/>
        <v>9</v>
      </c>
      <c r="J31" t="b">
        <f>IF(MID(ExplodedBOM!$E31,1,1)="(",TRUE,FALSE)</f>
        <v>0</v>
      </c>
    </row>
    <row r="32" spans="1:10" hidden="1" x14ac:dyDescent="0.25">
      <c r="A32">
        <f t="shared" ca="1" si="0"/>
        <v>3</v>
      </c>
      <c r="B32" s="2">
        <f>SUMPRODUCT(MAX(ROW($2:32)*($D$2:D32=(D32-1))))</f>
        <v>20</v>
      </c>
      <c r="C32" s="2"/>
      <c r="D32">
        <v>3</v>
      </c>
      <c r="E32" t="s">
        <v>6</v>
      </c>
      <c r="F32">
        <v>3</v>
      </c>
      <c r="G32" t="s">
        <v>2</v>
      </c>
      <c r="H32">
        <f t="shared" ca="1" si="1"/>
        <v>9</v>
      </c>
      <c r="J32" t="b">
        <f>IF(MID(ExplodedBOM!$E32,1,1)="(",TRUE,FALSE)</f>
        <v>0</v>
      </c>
    </row>
    <row r="33" spans="1:10" hidden="1" x14ac:dyDescent="0.25">
      <c r="A33">
        <f t="shared" ca="1" si="0"/>
        <v>3</v>
      </c>
      <c r="B33" s="2">
        <f>SUMPRODUCT(MAX(ROW($2:33)*($D$2:D33=(D33-1))))</f>
        <v>20</v>
      </c>
      <c r="C33" s="2"/>
      <c r="D33">
        <v>3</v>
      </c>
      <c r="E33" t="s">
        <v>27</v>
      </c>
      <c r="F33">
        <v>3</v>
      </c>
      <c r="G33" t="s">
        <v>2</v>
      </c>
      <c r="H33">
        <f t="shared" ca="1" si="1"/>
        <v>9</v>
      </c>
      <c r="J33" t="b">
        <f>IF(MID(ExplodedBOM!$E33,1,1)="(",TRUE,FALSE)</f>
        <v>0</v>
      </c>
    </row>
    <row r="34" spans="1:10" hidden="1" x14ac:dyDescent="0.25">
      <c r="A34">
        <f t="shared" ca="1" si="0"/>
        <v>3</v>
      </c>
      <c r="B34" s="2">
        <f>SUMPRODUCT(MAX(ROW($2:34)*($D$2:D34=(D34-1))))</f>
        <v>20</v>
      </c>
      <c r="C34" s="2"/>
      <c r="D34">
        <v>3</v>
      </c>
      <c r="E34" t="s">
        <v>15</v>
      </c>
      <c r="F34">
        <v>2</v>
      </c>
      <c r="G34" t="s">
        <v>2</v>
      </c>
      <c r="H34">
        <f t="shared" ca="1" si="1"/>
        <v>6</v>
      </c>
      <c r="J34" t="b">
        <f>IF(MID(ExplodedBOM!$E34,1,1)="(",TRUE,FALSE)</f>
        <v>0</v>
      </c>
    </row>
    <row r="35" spans="1:10" hidden="1" x14ac:dyDescent="0.25">
      <c r="A35">
        <f t="shared" ca="1" si="0"/>
        <v>1</v>
      </c>
      <c r="B35" s="2">
        <f>SUMPRODUCT(MAX(ROW($2:35)*($D$2:D35=(D35-1))))</f>
        <v>2</v>
      </c>
      <c r="C35" s="2"/>
      <c r="D35">
        <v>1</v>
      </c>
      <c r="E35" t="s">
        <v>22</v>
      </c>
      <c r="F35">
        <v>6</v>
      </c>
      <c r="G35" t="s">
        <v>2</v>
      </c>
      <c r="H35">
        <f t="shared" ca="1" si="1"/>
        <v>6</v>
      </c>
      <c r="J35" t="b">
        <f>IF(MID(ExplodedBOM!$E35,1,1)="(",TRUE,FALSE)</f>
        <v>1</v>
      </c>
    </row>
    <row r="36" spans="1:10" hidden="1" x14ac:dyDescent="0.25">
      <c r="A36">
        <f t="shared" ca="1" si="0"/>
        <v>6</v>
      </c>
      <c r="B36" s="2">
        <f>SUMPRODUCT(MAX(ROW($2:36)*($D$2:D36=(D36-1))))</f>
        <v>35</v>
      </c>
      <c r="C36" s="2"/>
      <c r="D36">
        <v>2</v>
      </c>
      <c r="E36" t="s">
        <v>20</v>
      </c>
      <c r="F36">
        <v>1</v>
      </c>
      <c r="G36" t="s">
        <v>2</v>
      </c>
      <c r="H36">
        <f t="shared" ca="1" si="1"/>
        <v>6</v>
      </c>
      <c r="J36" t="b">
        <f>IF(MID(ExplodedBOM!$E36,1,1)="(",TRUE,FALSE)</f>
        <v>0</v>
      </c>
    </row>
    <row r="37" spans="1:10" hidden="1" x14ac:dyDescent="0.25">
      <c r="A37">
        <f t="shared" ca="1" si="0"/>
        <v>6</v>
      </c>
      <c r="B37" s="2">
        <f>SUMPRODUCT(MAX(ROW($2:37)*($D$2:D37=(D37-1))))</f>
        <v>35</v>
      </c>
      <c r="C37" s="2"/>
      <c r="D37">
        <v>2</v>
      </c>
      <c r="E37" t="s">
        <v>21</v>
      </c>
      <c r="F37">
        <v>2</v>
      </c>
      <c r="G37" t="s">
        <v>2</v>
      </c>
      <c r="H37">
        <f t="shared" ca="1" si="1"/>
        <v>12</v>
      </c>
      <c r="I37" t="s">
        <v>121</v>
      </c>
      <c r="J37" t="b">
        <f>IF(MID(ExplodedBOM!$E37,1,1)="(",TRUE,FALSE)</f>
        <v>0</v>
      </c>
    </row>
    <row r="38" spans="1:10" hidden="1" x14ac:dyDescent="0.25">
      <c r="A38">
        <f t="shared" ca="1" si="0"/>
        <v>6</v>
      </c>
      <c r="B38" s="2">
        <f>SUMPRODUCT(MAX(ROW($2:38)*($D$2:D38=(D38-1))))</f>
        <v>35</v>
      </c>
      <c r="C38" s="2"/>
      <c r="D38">
        <v>2</v>
      </c>
      <c r="E38" t="s">
        <v>104</v>
      </c>
      <c r="F38">
        <v>2</v>
      </c>
      <c r="G38" t="s">
        <v>2</v>
      </c>
      <c r="H38">
        <f t="shared" ca="1" si="1"/>
        <v>12</v>
      </c>
      <c r="J38" t="b">
        <f>IF(MID(ExplodedBOM!$E38,1,1)="(",TRUE,FALSE)</f>
        <v>0</v>
      </c>
    </row>
    <row r="39" spans="1:10" hidden="1" x14ac:dyDescent="0.25">
      <c r="A39">
        <f t="shared" ca="1" si="0"/>
        <v>6</v>
      </c>
      <c r="B39" s="2">
        <f>SUMPRODUCT(MAX(ROW($2:39)*($D$2:D39=(D39-1))))</f>
        <v>35</v>
      </c>
      <c r="C39" s="2"/>
      <c r="D39">
        <v>2</v>
      </c>
      <c r="E39" t="s">
        <v>6</v>
      </c>
      <c r="F39">
        <v>4</v>
      </c>
      <c r="G39" t="s">
        <v>2</v>
      </c>
      <c r="H39">
        <f t="shared" ca="1" si="1"/>
        <v>24</v>
      </c>
      <c r="J39" t="b">
        <f>IF(MID(ExplodedBOM!$E39,1,1)="(",TRUE,FALSE)</f>
        <v>0</v>
      </c>
    </row>
    <row r="40" spans="1:10" hidden="1" x14ac:dyDescent="0.25">
      <c r="A40">
        <f t="shared" ca="1" si="0"/>
        <v>6</v>
      </c>
      <c r="B40" s="2">
        <f>SUMPRODUCT(MAX(ROW($2:40)*($D$2:D40=(D40-1))))</f>
        <v>35</v>
      </c>
      <c r="C40" s="2"/>
      <c r="D40">
        <v>2</v>
      </c>
      <c r="E40" t="s">
        <v>236</v>
      </c>
      <c r="F40">
        <v>2</v>
      </c>
      <c r="G40" t="s">
        <v>2</v>
      </c>
      <c r="H40">
        <f t="shared" ca="1" si="1"/>
        <v>12</v>
      </c>
      <c r="J40" t="b">
        <f>IF(MID(ExplodedBOM!$E40,1,1)="(",TRUE,FALSE)</f>
        <v>0</v>
      </c>
    </row>
    <row r="41" spans="1:10" hidden="1" x14ac:dyDescent="0.25">
      <c r="A41">
        <f t="shared" ca="1" si="0"/>
        <v>1</v>
      </c>
      <c r="B41" s="2">
        <f>SUMPRODUCT(MAX(ROW($2:41)*($D$2:D41=(D41-1))))</f>
        <v>2</v>
      </c>
      <c r="C41" s="2"/>
      <c r="D41">
        <v>1</v>
      </c>
      <c r="E41" t="s">
        <v>23</v>
      </c>
      <c r="F41">
        <v>1</v>
      </c>
      <c r="G41" t="s">
        <v>2</v>
      </c>
      <c r="H41">
        <f t="shared" ca="1" si="1"/>
        <v>1</v>
      </c>
      <c r="J41" t="b">
        <f>IF(MID(ExplodedBOM!$E41,1,1)="(",TRUE,FALSE)</f>
        <v>1</v>
      </c>
    </row>
    <row r="42" spans="1:10" hidden="1" x14ac:dyDescent="0.25">
      <c r="A42">
        <f t="shared" ca="1" si="0"/>
        <v>1</v>
      </c>
      <c r="B42" s="2">
        <f>SUMPRODUCT(MAX(ROW($2:42)*($D$2:D42=(D42-1))))</f>
        <v>41</v>
      </c>
      <c r="C42" s="2"/>
      <c r="D42">
        <v>2</v>
      </c>
      <c r="E42" t="s">
        <v>24</v>
      </c>
      <c r="F42">
        <v>1</v>
      </c>
      <c r="G42" t="s">
        <v>2</v>
      </c>
      <c r="H42">
        <f t="shared" ca="1" si="1"/>
        <v>1</v>
      </c>
      <c r="J42" t="b">
        <f>IF(MID(ExplodedBOM!$E42,1,1)="(",TRUE,FALSE)</f>
        <v>0</v>
      </c>
    </row>
    <row r="43" spans="1:10" hidden="1" x14ac:dyDescent="0.25">
      <c r="A43">
        <f t="shared" ca="1" si="0"/>
        <v>1</v>
      </c>
      <c r="B43" s="2">
        <f>SUMPRODUCT(MAX(ROW($2:43)*($D$2:D43=(D43-1))))</f>
        <v>41</v>
      </c>
      <c r="C43" s="2"/>
      <c r="D43">
        <v>2</v>
      </c>
      <c r="E43" t="s">
        <v>32</v>
      </c>
      <c r="F43">
        <v>1</v>
      </c>
      <c r="G43" t="s">
        <v>2</v>
      </c>
      <c r="H43">
        <f t="shared" ca="1" si="1"/>
        <v>1</v>
      </c>
      <c r="I43" t="s">
        <v>91</v>
      </c>
      <c r="J43" t="b">
        <f>IF(MID(ExplodedBOM!$E43,1,1)="(",TRUE,FALSE)</f>
        <v>0</v>
      </c>
    </row>
    <row r="44" spans="1:10" hidden="1" x14ac:dyDescent="0.25">
      <c r="A44">
        <f t="shared" ca="1" si="0"/>
        <v>1</v>
      </c>
      <c r="B44" s="2">
        <f>SUMPRODUCT(MAX(ROW($2:44)*($D$2:D44=(D44-1))))</f>
        <v>41</v>
      </c>
      <c r="C44" s="2"/>
      <c r="D44">
        <v>2</v>
      </c>
      <c r="E44" t="s">
        <v>33</v>
      </c>
      <c r="F44">
        <v>1</v>
      </c>
      <c r="G44" t="s">
        <v>2</v>
      </c>
      <c r="H44">
        <f t="shared" ca="1" si="1"/>
        <v>1</v>
      </c>
      <c r="J44" t="b">
        <f>IF(MID(ExplodedBOM!$E44,1,1)="(",TRUE,FALSE)</f>
        <v>0</v>
      </c>
    </row>
    <row r="45" spans="1:10" hidden="1" x14ac:dyDescent="0.25">
      <c r="A45">
        <f t="shared" ca="1" si="0"/>
        <v>1</v>
      </c>
      <c r="B45" s="2">
        <f>SUMPRODUCT(MAX(ROW($2:45)*($D$2:D45=(D45-1))))</f>
        <v>41</v>
      </c>
      <c r="C45" s="2"/>
      <c r="D45">
        <v>2</v>
      </c>
      <c r="E45" t="s">
        <v>25</v>
      </c>
      <c r="F45">
        <v>1</v>
      </c>
      <c r="G45" t="s">
        <v>2</v>
      </c>
      <c r="H45">
        <f t="shared" ca="1" si="1"/>
        <v>1</v>
      </c>
      <c r="J45" t="b">
        <f>IF(MID(ExplodedBOM!$E45,1,1)="(",TRUE,FALSE)</f>
        <v>0</v>
      </c>
    </row>
    <row r="46" spans="1:10" hidden="1" x14ac:dyDescent="0.25">
      <c r="A46">
        <f t="shared" ca="1" si="0"/>
        <v>1</v>
      </c>
      <c r="B46" s="2">
        <f>SUMPRODUCT(MAX(ROW($2:46)*($D$2:D46=(D46-1))))</f>
        <v>41</v>
      </c>
      <c r="C46" s="2"/>
      <c r="D46">
        <v>2</v>
      </c>
      <c r="E46" t="s">
        <v>31</v>
      </c>
      <c r="F46">
        <v>1</v>
      </c>
      <c r="G46" t="s">
        <v>2</v>
      </c>
      <c r="H46">
        <f t="shared" ca="1" si="1"/>
        <v>1</v>
      </c>
      <c r="J46" t="b">
        <f>IF(MID(ExplodedBOM!$E46,1,1)="(",TRUE,FALSE)</f>
        <v>0</v>
      </c>
    </row>
    <row r="47" spans="1:10" hidden="1" x14ac:dyDescent="0.25">
      <c r="A47">
        <f t="shared" ca="1" si="0"/>
        <v>1</v>
      </c>
      <c r="B47" s="2">
        <f>SUMPRODUCT(MAX(ROW($2:47)*($D$2:D47=(D47-1))))</f>
        <v>41</v>
      </c>
      <c r="C47" s="2"/>
      <c r="D47">
        <v>2</v>
      </c>
      <c r="E47" t="s">
        <v>26</v>
      </c>
      <c r="F47">
        <v>3</v>
      </c>
      <c r="G47" t="s">
        <v>2</v>
      </c>
      <c r="H47">
        <f t="shared" ca="1" si="1"/>
        <v>3</v>
      </c>
      <c r="J47" t="b">
        <f>IF(MID(ExplodedBOM!$E47,1,1)="(",TRUE,FALSE)</f>
        <v>1</v>
      </c>
    </row>
    <row r="48" spans="1:10" hidden="1" x14ac:dyDescent="0.25">
      <c r="A48">
        <f t="shared" ca="1" si="0"/>
        <v>3</v>
      </c>
      <c r="B48" s="2">
        <f>SUMPRODUCT(MAX(ROW($2:48)*($D$2:D48=(D48-1))))</f>
        <v>47</v>
      </c>
      <c r="C48" s="2"/>
      <c r="D48">
        <v>3</v>
      </c>
      <c r="E48" t="s">
        <v>15</v>
      </c>
      <c r="F48">
        <v>2</v>
      </c>
      <c r="G48" t="s">
        <v>2</v>
      </c>
      <c r="H48">
        <f t="shared" ca="1" si="1"/>
        <v>6</v>
      </c>
      <c r="J48" t="b">
        <f>IF(MID(ExplodedBOM!$E48,1,1)="(",TRUE,FALSE)</f>
        <v>0</v>
      </c>
    </row>
    <row r="49" spans="1:10" hidden="1" x14ac:dyDescent="0.25">
      <c r="A49">
        <f t="shared" ca="1" si="0"/>
        <v>3</v>
      </c>
      <c r="B49" s="2">
        <f>SUMPRODUCT(MAX(ROW($2:49)*($D$2:D49=(D49-1))))</f>
        <v>47</v>
      </c>
      <c r="C49" s="2"/>
      <c r="D49">
        <v>3</v>
      </c>
      <c r="E49" t="s">
        <v>27</v>
      </c>
      <c r="F49">
        <v>2</v>
      </c>
      <c r="G49" t="s">
        <v>2</v>
      </c>
      <c r="H49">
        <f t="shared" ca="1" si="1"/>
        <v>6</v>
      </c>
      <c r="J49" t="b">
        <f>IF(MID(ExplodedBOM!$E49,1,1)="(",TRUE,FALSE)</f>
        <v>0</v>
      </c>
    </row>
    <row r="50" spans="1:10" hidden="1" x14ac:dyDescent="0.25">
      <c r="A50">
        <f t="shared" ca="1" si="0"/>
        <v>3</v>
      </c>
      <c r="B50" s="2">
        <f>SUMPRODUCT(MAX(ROW($2:50)*($D$2:D50=(D50-1))))</f>
        <v>47</v>
      </c>
      <c r="C50" s="2"/>
      <c r="D50">
        <v>3</v>
      </c>
      <c r="E50" t="s">
        <v>28</v>
      </c>
      <c r="F50">
        <v>1</v>
      </c>
      <c r="G50" t="s">
        <v>2</v>
      </c>
      <c r="H50">
        <f t="shared" ca="1" si="1"/>
        <v>3</v>
      </c>
      <c r="J50" t="b">
        <f>IF(MID(ExplodedBOM!$E50,1,1)="(",TRUE,FALSE)</f>
        <v>0</v>
      </c>
    </row>
    <row r="51" spans="1:10" x14ac:dyDescent="0.25">
      <c r="A51">
        <f t="shared" ca="1" si="0"/>
        <v>3</v>
      </c>
      <c r="B51" s="2">
        <f>SUMPRODUCT(MAX(ROW($2:51)*($D$2:D51=(D51-1))))</f>
        <v>47</v>
      </c>
      <c r="C51" s="2"/>
      <c r="D51">
        <v>3</v>
      </c>
      <c r="E51" t="s">
        <v>29</v>
      </c>
      <c r="F51">
        <v>1</v>
      </c>
      <c r="G51" t="s">
        <v>2</v>
      </c>
      <c r="H51">
        <f t="shared" ca="1" si="1"/>
        <v>3</v>
      </c>
      <c r="J51" t="b">
        <f>IF(MID(ExplodedBOM!$E51,1,1)="(",TRUE,FALSE)</f>
        <v>0</v>
      </c>
    </row>
    <row r="52" spans="1:10" hidden="1" x14ac:dyDescent="0.25">
      <c r="A52">
        <f t="shared" ca="1" si="0"/>
        <v>3</v>
      </c>
      <c r="B52" s="2">
        <f>SUMPRODUCT(MAX(ROW($2:52)*($D$2:D52=(D52-1))))</f>
        <v>47</v>
      </c>
      <c r="C52" s="2"/>
      <c r="D52">
        <v>3</v>
      </c>
      <c r="E52" t="s">
        <v>244</v>
      </c>
      <c r="F52">
        <v>1</v>
      </c>
      <c r="G52" t="s">
        <v>2</v>
      </c>
      <c r="H52">
        <f t="shared" ca="1" si="1"/>
        <v>3</v>
      </c>
      <c r="J52" t="b">
        <f>IF(MID(ExplodedBOM!$E52,1,1)="(",TRUE,FALSE)</f>
        <v>0</v>
      </c>
    </row>
    <row r="53" spans="1:10" hidden="1" x14ac:dyDescent="0.25">
      <c r="A53">
        <f t="shared" ca="1" si="0"/>
        <v>3</v>
      </c>
      <c r="B53" s="2">
        <f>SUMPRODUCT(MAX(ROW($2:53)*($D$2:D53=(D53-1))))</f>
        <v>47</v>
      </c>
      <c r="C53" s="2"/>
      <c r="D53">
        <v>3</v>
      </c>
      <c r="E53" t="s">
        <v>5</v>
      </c>
      <c r="F53">
        <v>1</v>
      </c>
      <c r="G53" t="s">
        <v>2</v>
      </c>
      <c r="H53">
        <f t="shared" ca="1" si="1"/>
        <v>3</v>
      </c>
      <c r="J53" t="b">
        <f>IF(MID(ExplodedBOM!$E53,1,1)="(",TRUE,FALSE)</f>
        <v>0</v>
      </c>
    </row>
    <row r="54" spans="1:10" hidden="1" x14ac:dyDescent="0.25">
      <c r="A54">
        <f t="shared" ca="1" si="0"/>
        <v>3</v>
      </c>
      <c r="B54" s="2">
        <f>SUMPRODUCT(MAX(ROW($2:54)*($D$2:D54=(D54-1))))</f>
        <v>47</v>
      </c>
      <c r="C54" s="2"/>
      <c r="D54">
        <v>3</v>
      </c>
      <c r="E54" t="s">
        <v>269</v>
      </c>
      <c r="F54">
        <v>1</v>
      </c>
      <c r="G54" t="s">
        <v>2</v>
      </c>
      <c r="H54">
        <f t="shared" ca="1" si="1"/>
        <v>3</v>
      </c>
      <c r="J54" t="b">
        <f>IF(MID(ExplodedBOM!$E54,1,1)="(",TRUE,FALSE)</f>
        <v>0</v>
      </c>
    </row>
    <row r="55" spans="1:10" hidden="1" x14ac:dyDescent="0.25">
      <c r="A55">
        <f t="shared" ca="1" si="0"/>
        <v>1</v>
      </c>
      <c r="B55" s="2">
        <f>SUMPRODUCT(MAX(ROW($2:55)*($D$2:D55=(D55-1))))</f>
        <v>41</v>
      </c>
      <c r="C55" s="2"/>
      <c r="D55">
        <v>2</v>
      </c>
      <c r="E55" t="s">
        <v>34</v>
      </c>
      <c r="F55">
        <v>6</v>
      </c>
      <c r="G55" t="s">
        <v>2</v>
      </c>
      <c r="H55">
        <f t="shared" ca="1" si="1"/>
        <v>6</v>
      </c>
      <c r="J55" t="b">
        <f>IF(MID(ExplodedBOM!$E55,1,1)="(",TRUE,FALSE)</f>
        <v>1</v>
      </c>
    </row>
    <row r="56" spans="1:10" hidden="1" x14ac:dyDescent="0.25">
      <c r="A56">
        <f t="shared" ca="1" si="0"/>
        <v>6</v>
      </c>
      <c r="B56" s="2">
        <f>SUMPRODUCT(MAX(ROW($2:56)*($D$2:D56=(D56-1))))</f>
        <v>55</v>
      </c>
      <c r="C56" s="2"/>
      <c r="D56">
        <v>3</v>
      </c>
      <c r="E56" t="s">
        <v>5</v>
      </c>
      <c r="F56">
        <v>3</v>
      </c>
      <c r="G56" t="s">
        <v>2</v>
      </c>
      <c r="H56">
        <f t="shared" ca="1" si="1"/>
        <v>18</v>
      </c>
      <c r="J56" t="b">
        <f>IF(MID(ExplodedBOM!$E56,1,1)="(",TRUE,FALSE)</f>
        <v>0</v>
      </c>
    </row>
    <row r="57" spans="1:10" hidden="1" x14ac:dyDescent="0.25">
      <c r="A57">
        <f t="shared" ca="1" si="0"/>
        <v>6</v>
      </c>
      <c r="B57" s="2">
        <f>SUMPRODUCT(MAX(ROW($2:57)*($D$2:D57=(D57-1))))</f>
        <v>55</v>
      </c>
      <c r="C57" s="2"/>
      <c r="D57">
        <v>3</v>
      </c>
      <c r="E57" t="s">
        <v>35</v>
      </c>
      <c r="F57">
        <v>1</v>
      </c>
      <c r="G57" t="s">
        <v>2</v>
      </c>
      <c r="H57">
        <f t="shared" ca="1" si="1"/>
        <v>6</v>
      </c>
      <c r="J57" t="b">
        <f>IF(MID(ExplodedBOM!$E57,1,1)="(",TRUE,FALSE)</f>
        <v>0</v>
      </c>
    </row>
    <row r="58" spans="1:10" hidden="1" x14ac:dyDescent="0.25">
      <c r="A58">
        <f t="shared" ca="1" si="0"/>
        <v>6</v>
      </c>
      <c r="B58" s="2">
        <f>SUMPRODUCT(MAX(ROW($2:58)*($D$2:D58=(D58-1))))</f>
        <v>55</v>
      </c>
      <c r="C58" s="2"/>
      <c r="D58">
        <v>3</v>
      </c>
      <c r="E58" t="s">
        <v>36</v>
      </c>
      <c r="F58">
        <v>1</v>
      </c>
      <c r="G58" t="s">
        <v>2</v>
      </c>
      <c r="H58">
        <f t="shared" ca="1" si="1"/>
        <v>6</v>
      </c>
      <c r="I58" t="s">
        <v>100</v>
      </c>
      <c r="J58" t="b">
        <f>IF(MID(ExplodedBOM!$E58,1,1)="(",TRUE,FALSE)</f>
        <v>0</v>
      </c>
    </row>
    <row r="59" spans="1:10" hidden="1" x14ac:dyDescent="0.25">
      <c r="A59">
        <f t="shared" ca="1" si="0"/>
        <v>6</v>
      </c>
      <c r="B59" s="2">
        <f>SUMPRODUCT(MAX(ROW($2:59)*($D$2:D59=(D59-1))))</f>
        <v>55</v>
      </c>
      <c r="C59" s="2"/>
      <c r="D59">
        <v>3</v>
      </c>
      <c r="E59" t="s">
        <v>269</v>
      </c>
      <c r="F59">
        <v>1</v>
      </c>
      <c r="G59" t="s">
        <v>2</v>
      </c>
      <c r="H59">
        <f t="shared" ca="1" si="1"/>
        <v>6</v>
      </c>
      <c r="J59" t="b">
        <f>IF(MID(ExplodedBOM!$E59,1,1)="(",TRUE,FALSE)</f>
        <v>0</v>
      </c>
    </row>
    <row r="60" spans="1:10" hidden="1" x14ac:dyDescent="0.25">
      <c r="A60">
        <f t="shared" ca="1" si="0"/>
        <v>1</v>
      </c>
      <c r="B60" s="2">
        <f>SUMPRODUCT(MAX(ROW($2:60)*($D$2:D60=(D60-1))))</f>
        <v>2</v>
      </c>
      <c r="C60" s="2"/>
      <c r="D60">
        <v>1</v>
      </c>
      <c r="E60" t="s">
        <v>37</v>
      </c>
      <c r="F60">
        <v>3</v>
      </c>
      <c r="G60" t="s">
        <v>2</v>
      </c>
      <c r="H60">
        <f t="shared" ca="1" si="1"/>
        <v>3</v>
      </c>
      <c r="J60" t="b">
        <f>IF(MID(ExplodedBOM!$E60,1,1)="(",TRUE,FALSE)</f>
        <v>1</v>
      </c>
    </row>
    <row r="61" spans="1:10" x14ac:dyDescent="0.25">
      <c r="A61">
        <f t="shared" ca="1" si="0"/>
        <v>3</v>
      </c>
      <c r="B61" s="2">
        <f>SUMPRODUCT(MAX(ROW($2:61)*($D$2:D61=(D61-1))))</f>
        <v>60</v>
      </c>
      <c r="C61" s="2"/>
      <c r="D61">
        <v>2</v>
      </c>
      <c r="E61" t="s">
        <v>38</v>
      </c>
      <c r="F61">
        <v>1</v>
      </c>
      <c r="G61" t="s">
        <v>2</v>
      </c>
      <c r="H61">
        <f t="shared" ca="1" si="1"/>
        <v>3</v>
      </c>
      <c r="J61" t="b">
        <f>IF(MID(ExplodedBOM!$E61,1,1)="(",TRUE,FALSE)</f>
        <v>0</v>
      </c>
    </row>
    <row r="62" spans="1:10" hidden="1" x14ac:dyDescent="0.25">
      <c r="A62">
        <f t="shared" ca="1" si="0"/>
        <v>3</v>
      </c>
      <c r="B62" s="2">
        <f>SUMPRODUCT(MAX(ROW($2:62)*($D$2:D62=(D62-1))))</f>
        <v>60</v>
      </c>
      <c r="C62" s="2"/>
      <c r="D62">
        <v>2</v>
      </c>
      <c r="E62" t="s">
        <v>39</v>
      </c>
      <c r="F62">
        <v>1</v>
      </c>
      <c r="G62" t="s">
        <v>2</v>
      </c>
      <c r="H62">
        <f t="shared" ca="1" si="1"/>
        <v>3</v>
      </c>
      <c r="J62" t="b">
        <f>IF(MID(ExplodedBOM!$E62,1,1)="(",TRUE,FALSE)</f>
        <v>0</v>
      </c>
    </row>
    <row r="63" spans="1:10" hidden="1" x14ac:dyDescent="0.25">
      <c r="A63">
        <f t="shared" ca="1" si="0"/>
        <v>3</v>
      </c>
      <c r="B63" s="2">
        <f>SUMPRODUCT(MAX(ROW($2:63)*($D$2:D63=(D63-1))))</f>
        <v>60</v>
      </c>
      <c r="C63" s="2"/>
      <c r="D63">
        <v>2</v>
      </c>
      <c r="E63" t="s">
        <v>269</v>
      </c>
      <c r="F63">
        <v>4</v>
      </c>
      <c r="G63" t="s">
        <v>2</v>
      </c>
      <c r="H63">
        <f t="shared" ca="1" si="1"/>
        <v>12</v>
      </c>
      <c r="J63" t="b">
        <f>IF(MID(ExplodedBOM!$E63,1,1)="(",TRUE,FALSE)</f>
        <v>0</v>
      </c>
    </row>
    <row r="64" spans="1:10" hidden="1" x14ac:dyDescent="0.25">
      <c r="A64">
        <f t="shared" ca="1" si="0"/>
        <v>3</v>
      </c>
      <c r="B64" s="2">
        <f>SUMPRODUCT(MAX(ROW($2:64)*($D$2:D64=(D64-1))))</f>
        <v>60</v>
      </c>
      <c r="C64" s="2"/>
      <c r="D64">
        <v>2</v>
      </c>
      <c r="E64" t="s">
        <v>35</v>
      </c>
      <c r="F64">
        <v>4</v>
      </c>
      <c r="G64" t="s">
        <v>2</v>
      </c>
      <c r="H64">
        <f t="shared" ca="1" si="1"/>
        <v>12</v>
      </c>
      <c r="J64" t="b">
        <f>IF(MID(ExplodedBOM!$E64,1,1)="(",TRUE,FALSE)</f>
        <v>0</v>
      </c>
    </row>
    <row r="65" spans="1:10" hidden="1" x14ac:dyDescent="0.25">
      <c r="A65">
        <f t="shared" ca="1" si="0"/>
        <v>3</v>
      </c>
      <c r="B65" s="2">
        <f>SUMPRODUCT(MAX(ROW($2:65)*($D$2:D65=(D65-1))))</f>
        <v>60</v>
      </c>
      <c r="C65" s="2"/>
      <c r="D65">
        <v>2</v>
      </c>
      <c r="E65" t="s">
        <v>5</v>
      </c>
      <c r="F65">
        <v>8</v>
      </c>
      <c r="G65" t="s">
        <v>2</v>
      </c>
      <c r="H65">
        <f t="shared" ca="1" si="1"/>
        <v>24</v>
      </c>
      <c r="J65" t="b">
        <f>IF(MID(ExplodedBOM!$E65,1,1)="(",TRUE,FALSE)</f>
        <v>0</v>
      </c>
    </row>
    <row r="66" spans="1:10" hidden="1" x14ac:dyDescent="0.25">
      <c r="A66">
        <f t="shared" ca="1" si="0"/>
        <v>3</v>
      </c>
      <c r="B66" s="2">
        <f>SUMPRODUCT(MAX(ROW($2:66)*($D$2:D66=(D66-1))))</f>
        <v>60</v>
      </c>
      <c r="C66" s="2"/>
      <c r="D66">
        <v>2</v>
      </c>
      <c r="E66" t="s">
        <v>40</v>
      </c>
      <c r="F66">
        <v>1</v>
      </c>
      <c r="G66" t="s">
        <v>2</v>
      </c>
      <c r="H66">
        <f t="shared" ca="1" si="1"/>
        <v>3</v>
      </c>
      <c r="J66" t="b">
        <f>IF(MID(ExplodedBOM!$E66,1,1)="(",TRUE,FALSE)</f>
        <v>0</v>
      </c>
    </row>
    <row r="67" spans="1:10" hidden="1" x14ac:dyDescent="0.25">
      <c r="A67">
        <f t="shared" ref="A67:A132" ca="1" si="2">IF(MID(E66,1,1)="(",F66*A66,
      IF(D67&lt;D66,INDIRECT("A" &amp; B67+1),A66)
)</f>
        <v>3</v>
      </c>
      <c r="B67" s="2">
        <f>SUMPRODUCT(MAX(ROW($2:67)*($D$2:D67=(D67-1))))</f>
        <v>60</v>
      </c>
      <c r="C67" s="2"/>
      <c r="D67">
        <v>2</v>
      </c>
      <c r="E67" t="s">
        <v>41</v>
      </c>
      <c r="F67">
        <v>1</v>
      </c>
      <c r="G67" t="s">
        <v>2</v>
      </c>
      <c r="H67">
        <f t="shared" ref="H67:H133" ca="1" si="3">F67*A67</f>
        <v>3</v>
      </c>
      <c r="J67" t="b">
        <f>IF(MID(ExplodedBOM!$E67,1,1)="(",TRUE,FALSE)</f>
        <v>0</v>
      </c>
    </row>
    <row r="68" spans="1:10" hidden="1" x14ac:dyDescent="0.25">
      <c r="A68">
        <f t="shared" ca="1" si="2"/>
        <v>3</v>
      </c>
      <c r="B68" s="2">
        <f>SUMPRODUCT(MAX(ROW($2:68)*($D$2:D68=(D68-1))))</f>
        <v>60</v>
      </c>
      <c r="C68" s="2"/>
      <c r="D68">
        <v>2</v>
      </c>
      <c r="E68" t="s">
        <v>42</v>
      </c>
      <c r="F68">
        <v>2</v>
      </c>
      <c r="G68" t="s">
        <v>2</v>
      </c>
      <c r="H68">
        <f t="shared" ca="1" si="3"/>
        <v>6</v>
      </c>
      <c r="J68" t="b">
        <f>IF(MID(ExplodedBOM!$E68,1,1)="(",TRUE,FALSE)</f>
        <v>0</v>
      </c>
    </row>
    <row r="69" spans="1:10" hidden="1" x14ac:dyDescent="0.25">
      <c r="A69">
        <f t="shared" ca="1" si="2"/>
        <v>3</v>
      </c>
      <c r="B69" s="2">
        <f>SUMPRODUCT(MAX(ROW($2:69)*($D$2:D69=(D69-1))))</f>
        <v>60</v>
      </c>
      <c r="C69" s="2"/>
      <c r="D69">
        <v>2</v>
      </c>
      <c r="E69" t="s">
        <v>43</v>
      </c>
      <c r="F69">
        <v>1</v>
      </c>
      <c r="G69" t="s">
        <v>2</v>
      </c>
      <c r="H69">
        <f t="shared" ca="1" si="3"/>
        <v>3</v>
      </c>
      <c r="J69" t="b">
        <f>IF(MID(ExplodedBOM!$E69,1,1)="(",TRUE,FALSE)</f>
        <v>0</v>
      </c>
    </row>
    <row r="70" spans="1:10" hidden="1" x14ac:dyDescent="0.25">
      <c r="A70">
        <f t="shared" ca="1" si="2"/>
        <v>3</v>
      </c>
      <c r="B70" s="2">
        <f>SUMPRODUCT(MAX(ROW($2:70)*($D$2:D70=(D70-1))))</f>
        <v>60</v>
      </c>
      <c r="C70" s="2"/>
      <c r="D70">
        <v>2</v>
      </c>
      <c r="E70" t="s">
        <v>244</v>
      </c>
      <c r="F70">
        <v>1</v>
      </c>
      <c r="G70" t="s">
        <v>2</v>
      </c>
      <c r="H70">
        <f t="shared" ca="1" si="3"/>
        <v>3</v>
      </c>
      <c r="J70" t="b">
        <f>IF(MID(ExplodedBOM!$E70,1,1)="(",TRUE,FALSE)</f>
        <v>0</v>
      </c>
    </row>
    <row r="71" spans="1:10" hidden="1" x14ac:dyDescent="0.25">
      <c r="A71">
        <f t="shared" ca="1" si="2"/>
        <v>3</v>
      </c>
      <c r="B71" s="2">
        <f>SUMPRODUCT(MAX(ROW($2:71)*($D$2:D71=(D71-1))))</f>
        <v>60</v>
      </c>
      <c r="C71" s="2"/>
      <c r="D71">
        <v>2</v>
      </c>
      <c r="E71" t="s">
        <v>44</v>
      </c>
      <c r="F71">
        <v>1</v>
      </c>
      <c r="G71" t="s">
        <v>2</v>
      </c>
      <c r="H71">
        <f t="shared" ca="1" si="3"/>
        <v>3</v>
      </c>
      <c r="J71" t="b">
        <f>IF(MID(ExplodedBOM!$E71,1,1)="(",TRUE,FALSE)</f>
        <v>1</v>
      </c>
    </row>
    <row r="72" spans="1:10" x14ac:dyDescent="0.25">
      <c r="A72">
        <f t="shared" ca="1" si="2"/>
        <v>3</v>
      </c>
      <c r="B72" s="2">
        <f>SUMPRODUCT(MAX(ROW($2:72)*($D$2:D72=(D72-1))))</f>
        <v>71</v>
      </c>
      <c r="C72" s="2"/>
      <c r="D72">
        <v>3</v>
      </c>
      <c r="E72" t="s">
        <v>45</v>
      </c>
      <c r="F72">
        <v>1</v>
      </c>
      <c r="G72" t="s">
        <v>2</v>
      </c>
      <c r="H72">
        <f t="shared" ca="1" si="3"/>
        <v>3</v>
      </c>
      <c r="J72" t="b">
        <f>IF(MID(ExplodedBOM!$E72,1,1)="(",TRUE,FALSE)</f>
        <v>0</v>
      </c>
    </row>
    <row r="73" spans="1:10" hidden="1" x14ac:dyDescent="0.25">
      <c r="A73">
        <f t="shared" ca="1" si="2"/>
        <v>3</v>
      </c>
      <c r="B73" s="2">
        <f>SUMPRODUCT(MAX(ROW($2:73)*($D$2:D73=(D73-1))))</f>
        <v>71</v>
      </c>
      <c r="C73" s="2"/>
      <c r="D73">
        <v>3</v>
      </c>
      <c r="E73" t="s">
        <v>10</v>
      </c>
      <c r="F73">
        <v>1</v>
      </c>
      <c r="G73" t="s">
        <v>2</v>
      </c>
      <c r="H73">
        <f t="shared" ca="1" si="3"/>
        <v>3</v>
      </c>
      <c r="J73" t="b">
        <f>IF(MID(ExplodedBOM!$E73,1,1)="(",TRUE,FALSE)</f>
        <v>0</v>
      </c>
    </row>
    <row r="74" spans="1:10" hidden="1" x14ac:dyDescent="0.25">
      <c r="A74">
        <f t="shared" ca="1" si="2"/>
        <v>3</v>
      </c>
      <c r="B74" s="2">
        <f>SUMPRODUCT(MAX(ROW($2:74)*($D$2:D74=(D74-1))))</f>
        <v>71</v>
      </c>
      <c r="C74" s="2"/>
      <c r="D74">
        <v>3</v>
      </c>
      <c r="E74" t="s">
        <v>35</v>
      </c>
      <c r="F74">
        <v>1</v>
      </c>
      <c r="G74" t="s">
        <v>2</v>
      </c>
      <c r="H74">
        <f t="shared" ca="1" si="3"/>
        <v>3</v>
      </c>
      <c r="J74" t="b">
        <f>IF(MID(ExplodedBOM!$E74,1,1)="(",TRUE,FALSE)</f>
        <v>0</v>
      </c>
    </row>
    <row r="75" spans="1:10" hidden="1" x14ac:dyDescent="0.25">
      <c r="A75">
        <f t="shared" ca="1" si="2"/>
        <v>3</v>
      </c>
      <c r="B75" s="2">
        <f>SUMPRODUCT(MAX(ROW($2:75)*($D$2:D75=(D75-1))))</f>
        <v>71</v>
      </c>
      <c r="C75" s="2"/>
      <c r="D75">
        <v>3</v>
      </c>
      <c r="E75" t="s">
        <v>269</v>
      </c>
      <c r="F75">
        <v>1</v>
      </c>
      <c r="G75" t="s">
        <v>2</v>
      </c>
      <c r="H75">
        <f t="shared" ca="1" si="3"/>
        <v>3</v>
      </c>
      <c r="J75" t="b">
        <f>IF(MID(ExplodedBOM!$E75,1,1)="(",TRUE,FALSE)</f>
        <v>0</v>
      </c>
    </row>
    <row r="76" spans="1:10" hidden="1" x14ac:dyDescent="0.25">
      <c r="A76">
        <f t="shared" ca="1" si="2"/>
        <v>3</v>
      </c>
      <c r="B76" s="2">
        <f>SUMPRODUCT(MAX(ROW($2:76)*($D$2:D76=(D76-1))))</f>
        <v>71</v>
      </c>
      <c r="C76" s="2"/>
      <c r="D76">
        <v>3</v>
      </c>
      <c r="E76" t="s">
        <v>40</v>
      </c>
      <c r="F76">
        <v>1</v>
      </c>
      <c r="G76" t="s">
        <v>2</v>
      </c>
      <c r="H76">
        <f t="shared" ca="1" si="3"/>
        <v>3</v>
      </c>
      <c r="J76" t="b">
        <f>IF(MID(ExplodedBOM!$E76,1,1)="(",TRUE,FALSE)</f>
        <v>0</v>
      </c>
    </row>
    <row r="77" spans="1:10" hidden="1" x14ac:dyDescent="0.25">
      <c r="A77">
        <f t="shared" ca="1" si="2"/>
        <v>3</v>
      </c>
      <c r="B77" s="2">
        <f>SUMPRODUCT(MAX(ROW($2:77)*($D$2:D77=(D77-1))))</f>
        <v>71</v>
      </c>
      <c r="C77" s="2"/>
      <c r="D77">
        <v>3</v>
      </c>
      <c r="E77" t="s">
        <v>5</v>
      </c>
      <c r="F77">
        <v>1</v>
      </c>
      <c r="G77" t="s">
        <v>2</v>
      </c>
      <c r="H77">
        <f t="shared" ca="1" si="3"/>
        <v>3</v>
      </c>
      <c r="J77" t="b">
        <f>IF(MID(ExplodedBOM!$E77,1,1)="(",TRUE,FALSE)</f>
        <v>0</v>
      </c>
    </row>
    <row r="78" spans="1:10" hidden="1" x14ac:dyDescent="0.25">
      <c r="A78">
        <f t="shared" ca="1" si="2"/>
        <v>3</v>
      </c>
      <c r="B78" s="2">
        <f>SUMPRODUCT(MAX(ROW($2:78)*($D$2:D78=(D78-1))))</f>
        <v>71</v>
      </c>
      <c r="C78" s="2"/>
      <c r="D78">
        <v>3</v>
      </c>
      <c r="E78" t="s">
        <v>5</v>
      </c>
      <c r="F78">
        <v>1</v>
      </c>
      <c r="G78" t="s">
        <v>2</v>
      </c>
      <c r="H78">
        <f t="shared" ca="1" si="3"/>
        <v>3</v>
      </c>
      <c r="J78" t="b">
        <f>IF(MID(ExplodedBOM!$E78,1,1)="(",TRUE,FALSE)</f>
        <v>0</v>
      </c>
    </row>
    <row r="79" spans="1:10" hidden="1" x14ac:dyDescent="0.25">
      <c r="A79">
        <f t="shared" ca="1" si="2"/>
        <v>3</v>
      </c>
      <c r="B79" s="2">
        <f>SUMPRODUCT(MAX(ROW($2:79)*($D$2:D79=(D79-1))))</f>
        <v>71</v>
      </c>
      <c r="C79" s="2"/>
      <c r="D79">
        <v>3</v>
      </c>
      <c r="E79" t="s">
        <v>46</v>
      </c>
      <c r="F79">
        <v>2</v>
      </c>
      <c r="G79" t="s">
        <v>2</v>
      </c>
      <c r="H79">
        <f t="shared" ca="1" si="3"/>
        <v>6</v>
      </c>
      <c r="J79" t="b">
        <f>IF(MID(ExplodedBOM!$E79,1,1)="(",TRUE,FALSE)</f>
        <v>0</v>
      </c>
    </row>
    <row r="80" spans="1:10" hidden="1" x14ac:dyDescent="0.25">
      <c r="A80">
        <f t="shared" ca="1" si="2"/>
        <v>3</v>
      </c>
      <c r="B80" s="2">
        <f>SUMPRODUCT(MAX(ROW($2:80)*($D$2:D80=(D80-1))))</f>
        <v>71</v>
      </c>
      <c r="C80" s="2"/>
      <c r="D80">
        <v>3</v>
      </c>
      <c r="E80" t="s">
        <v>6</v>
      </c>
      <c r="F80">
        <v>4</v>
      </c>
      <c r="G80" t="s">
        <v>2</v>
      </c>
      <c r="H80">
        <f t="shared" ca="1" si="3"/>
        <v>12</v>
      </c>
      <c r="J80" t="b">
        <f>IF(MID(ExplodedBOM!$E80,1,1)="(",TRUE,FALSE)</f>
        <v>0</v>
      </c>
    </row>
    <row r="81" spans="1:10" hidden="1" x14ac:dyDescent="0.25">
      <c r="A81">
        <f t="shared" ca="1" si="2"/>
        <v>3</v>
      </c>
      <c r="B81" s="2">
        <f>SUMPRODUCT(MAX(ROW($2:81)*($D$2:D81=(D81-1))))</f>
        <v>71</v>
      </c>
      <c r="C81" s="2"/>
      <c r="D81">
        <v>3</v>
      </c>
      <c r="E81" t="s">
        <v>27</v>
      </c>
      <c r="F81">
        <v>2</v>
      </c>
      <c r="G81" t="s">
        <v>2</v>
      </c>
      <c r="H81">
        <f t="shared" ca="1" si="3"/>
        <v>6</v>
      </c>
      <c r="J81" t="b">
        <f>IF(MID(ExplodedBOM!$E81,1,1)="(",TRUE,FALSE)</f>
        <v>0</v>
      </c>
    </row>
    <row r="82" spans="1:10" hidden="1" x14ac:dyDescent="0.25">
      <c r="A82">
        <f t="shared" ca="1" si="2"/>
        <v>3</v>
      </c>
      <c r="B82" s="2">
        <f>SUMPRODUCT(MAX(ROW($2:82)*($D$2:D82=(D82-1))))</f>
        <v>71</v>
      </c>
      <c r="C82" s="2"/>
      <c r="D82">
        <v>3</v>
      </c>
      <c r="E82" t="s">
        <v>47</v>
      </c>
      <c r="F82">
        <v>1</v>
      </c>
      <c r="G82" t="s">
        <v>2</v>
      </c>
      <c r="H82">
        <f t="shared" ca="1" si="3"/>
        <v>3</v>
      </c>
      <c r="J82" t="b">
        <f>IF(MID(ExplodedBOM!$E82,1,1)="(",TRUE,FALSE)</f>
        <v>0</v>
      </c>
    </row>
    <row r="83" spans="1:10" hidden="1" x14ac:dyDescent="0.25">
      <c r="A83">
        <f t="shared" ca="1" si="2"/>
        <v>1</v>
      </c>
      <c r="B83" s="2">
        <f>SUMPRODUCT(MAX(ROW($2:83)*($D$2:D83=(D83-1))))</f>
        <v>2</v>
      </c>
      <c r="C83" s="2"/>
      <c r="D83">
        <v>1</v>
      </c>
      <c r="E83" t="s">
        <v>48</v>
      </c>
      <c r="F83">
        <v>1</v>
      </c>
      <c r="G83" t="s">
        <v>2</v>
      </c>
      <c r="H83">
        <f t="shared" ca="1" si="3"/>
        <v>1</v>
      </c>
      <c r="J83" t="b">
        <f>IF(MID(ExplodedBOM!$E83,1,1)="(",TRUE,FALSE)</f>
        <v>1</v>
      </c>
    </row>
    <row r="84" spans="1:10" hidden="1" x14ac:dyDescent="0.25">
      <c r="A84">
        <f t="shared" ca="1" si="2"/>
        <v>1</v>
      </c>
      <c r="B84" s="2">
        <f>SUMPRODUCT(MAX(ROW($2:84)*($D$2:D84=(D84-1))))</f>
        <v>83</v>
      </c>
      <c r="C84" s="2"/>
      <c r="D84">
        <v>2</v>
      </c>
      <c r="E84" t="s">
        <v>49</v>
      </c>
      <c r="F84">
        <v>1</v>
      </c>
      <c r="G84" t="s">
        <v>2</v>
      </c>
      <c r="H84">
        <f t="shared" ca="1" si="3"/>
        <v>1</v>
      </c>
      <c r="J84" t="b">
        <f>IF(MID(ExplodedBOM!$E84,1,1)="(",TRUE,FALSE)</f>
        <v>0</v>
      </c>
    </row>
    <row r="85" spans="1:10" x14ac:dyDescent="0.25">
      <c r="A85">
        <f t="shared" ca="1" si="2"/>
        <v>1</v>
      </c>
      <c r="B85" s="2">
        <f>SUMPRODUCT(MAX(ROW($2:85)*($D$2:D85=(D85-1))))</f>
        <v>83</v>
      </c>
      <c r="C85" s="2"/>
      <c r="D85">
        <v>2</v>
      </c>
      <c r="E85" t="s">
        <v>125</v>
      </c>
      <c r="F85">
        <v>2</v>
      </c>
      <c r="G85" t="s">
        <v>2</v>
      </c>
      <c r="H85">
        <f t="shared" ca="1" si="3"/>
        <v>2</v>
      </c>
      <c r="J85" t="b">
        <f>IF(MID(ExplodedBOM!$E85,1,1)="(",TRUE,FALSE)</f>
        <v>0</v>
      </c>
    </row>
    <row r="86" spans="1:10" hidden="1" x14ac:dyDescent="0.25">
      <c r="A86">
        <f t="shared" ca="1" si="2"/>
        <v>1</v>
      </c>
      <c r="B86" s="2">
        <f>SUMPRODUCT(MAX(ROW($2:86)*($D$2:D86=(D86-1))))</f>
        <v>83</v>
      </c>
      <c r="C86" s="2"/>
      <c r="D86">
        <v>2</v>
      </c>
      <c r="E86" t="s">
        <v>126</v>
      </c>
      <c r="F86">
        <v>1</v>
      </c>
      <c r="G86" t="s">
        <v>2</v>
      </c>
      <c r="H86">
        <f t="shared" ca="1" si="3"/>
        <v>1</v>
      </c>
      <c r="J86" t="b">
        <f>IF(MID(ExplodedBOM!$E86,1,1)="(",TRUE,FALSE)</f>
        <v>0</v>
      </c>
    </row>
    <row r="87" spans="1:10" hidden="1" x14ac:dyDescent="0.25">
      <c r="A87">
        <f t="shared" ca="1" si="2"/>
        <v>1</v>
      </c>
      <c r="B87" s="2">
        <f>SUMPRODUCT(MAX(ROW($2:87)*($D$2:D87=(D87-1))))</f>
        <v>83</v>
      </c>
      <c r="C87" s="2"/>
      <c r="D87">
        <v>2</v>
      </c>
      <c r="E87" t="s">
        <v>30</v>
      </c>
      <c r="F87">
        <v>5</v>
      </c>
      <c r="G87" t="s">
        <v>2</v>
      </c>
      <c r="H87">
        <f t="shared" ca="1" si="3"/>
        <v>5</v>
      </c>
      <c r="J87" t="b">
        <f>IF(MID(ExplodedBOM!$E87,1,1)="(",TRUE,FALSE)</f>
        <v>0</v>
      </c>
    </row>
    <row r="88" spans="1:10" hidden="1" x14ac:dyDescent="0.25">
      <c r="A88">
        <f t="shared" ca="1" si="2"/>
        <v>1</v>
      </c>
      <c r="B88" s="2">
        <f>SUMPRODUCT(MAX(ROW($2:88)*($D$2:D88=(D88-1))))</f>
        <v>83</v>
      </c>
      <c r="C88" s="2"/>
      <c r="D88">
        <v>2</v>
      </c>
      <c r="E88" t="s">
        <v>269</v>
      </c>
      <c r="F88">
        <v>5</v>
      </c>
      <c r="G88" t="s">
        <v>2</v>
      </c>
      <c r="H88">
        <f t="shared" ca="1" si="3"/>
        <v>5</v>
      </c>
      <c r="J88" t="b">
        <f>IF(MID(ExplodedBOM!$E88,1,1)="(",TRUE,FALSE)</f>
        <v>0</v>
      </c>
    </row>
    <row r="89" spans="1:10" hidden="1" x14ac:dyDescent="0.25">
      <c r="A89">
        <f t="shared" ca="1" si="2"/>
        <v>1</v>
      </c>
      <c r="B89" s="2">
        <f>SUMPRODUCT(MAX(ROW($2:89)*($D$2:D89=(D89-1))))</f>
        <v>83</v>
      </c>
      <c r="C89" s="2"/>
      <c r="D89">
        <v>2</v>
      </c>
      <c r="E89" t="s">
        <v>5</v>
      </c>
      <c r="F89">
        <v>5</v>
      </c>
      <c r="G89" t="s">
        <v>2</v>
      </c>
      <c r="H89">
        <f t="shared" ca="1" si="3"/>
        <v>5</v>
      </c>
      <c r="J89" t="b">
        <f>IF(MID(ExplodedBOM!$E89,1,1)="(",TRUE,FALSE)</f>
        <v>0</v>
      </c>
    </row>
    <row r="90" spans="1:10" hidden="1" x14ac:dyDescent="0.25">
      <c r="A90">
        <f t="shared" ca="1" si="2"/>
        <v>1</v>
      </c>
      <c r="B90" s="2">
        <f>SUMPRODUCT(MAX(ROW($2:90)*($D$2:D90=(D90-1))))</f>
        <v>2</v>
      </c>
      <c r="C90" s="2"/>
      <c r="D90">
        <v>1</v>
      </c>
      <c r="E90" t="s">
        <v>51</v>
      </c>
      <c r="F90">
        <v>1</v>
      </c>
      <c r="G90" t="s">
        <v>2</v>
      </c>
      <c r="H90">
        <f t="shared" ca="1" si="3"/>
        <v>1</v>
      </c>
      <c r="J90" t="b">
        <f>IF(MID(ExplodedBOM!$E90,1,1)="(",TRUE,FALSE)</f>
        <v>1</v>
      </c>
    </row>
    <row r="91" spans="1:10" hidden="1" x14ac:dyDescent="0.25">
      <c r="A91">
        <f t="shared" ca="1" si="2"/>
        <v>1</v>
      </c>
      <c r="B91" s="2">
        <f>SUMPRODUCT(MAX(ROW($2:91)*($D$2:D91=(D91-1))))</f>
        <v>90</v>
      </c>
      <c r="C91" s="2"/>
      <c r="D91">
        <v>2</v>
      </c>
      <c r="E91" t="s">
        <v>52</v>
      </c>
      <c r="F91">
        <v>9</v>
      </c>
      <c r="G91" t="s">
        <v>2</v>
      </c>
      <c r="H91">
        <f t="shared" ca="1" si="3"/>
        <v>9</v>
      </c>
      <c r="J91" t="b">
        <f>IF(MID(ExplodedBOM!$E91,1,1)="(",TRUE,FALSE)</f>
        <v>0</v>
      </c>
    </row>
    <row r="92" spans="1:10" hidden="1" x14ac:dyDescent="0.25">
      <c r="A92">
        <f t="shared" ca="1" si="2"/>
        <v>1</v>
      </c>
      <c r="B92" s="2">
        <f>SUMPRODUCT(MAX(ROW($2:92)*($D$2:D92=(D92-1))))</f>
        <v>90</v>
      </c>
      <c r="C92" s="2"/>
      <c r="D92">
        <v>2</v>
      </c>
      <c r="E92" t="s">
        <v>53</v>
      </c>
      <c r="F92">
        <f>F91*2</f>
        <v>18</v>
      </c>
      <c r="G92" t="s">
        <v>2</v>
      </c>
      <c r="H92">
        <f t="shared" ca="1" si="3"/>
        <v>18</v>
      </c>
      <c r="J92" t="b">
        <f>IF(MID(ExplodedBOM!$E92,1,1)="(",TRUE,FALSE)</f>
        <v>0</v>
      </c>
    </row>
    <row r="93" spans="1:10" hidden="1" x14ac:dyDescent="0.25">
      <c r="A93">
        <f t="shared" ca="1" si="2"/>
        <v>1</v>
      </c>
      <c r="B93" s="2">
        <f>SUMPRODUCT(MAX(ROW($2:93)*($D$2:D93=(D93-1))))</f>
        <v>90</v>
      </c>
      <c r="C93" s="2"/>
      <c r="D93">
        <v>2</v>
      </c>
      <c r="E93" t="s">
        <v>179</v>
      </c>
      <c r="F93">
        <f>F91*2</f>
        <v>18</v>
      </c>
      <c r="G93" t="s">
        <v>2</v>
      </c>
      <c r="H93">
        <f t="shared" ca="1" si="3"/>
        <v>18</v>
      </c>
      <c r="J93" t="b">
        <f>IF(MID(ExplodedBOM!$E93,1,1)="(",TRUE,FALSE)</f>
        <v>0</v>
      </c>
    </row>
    <row r="94" spans="1:10" hidden="1" x14ac:dyDescent="0.25">
      <c r="A94">
        <f t="shared" ca="1" si="2"/>
        <v>1</v>
      </c>
      <c r="B94" s="2">
        <f>SUMPRODUCT(MAX(ROW($2:94)*($D$2:D94=(D94-1))))</f>
        <v>90</v>
      </c>
      <c r="C94" s="2"/>
      <c r="D94">
        <v>2</v>
      </c>
      <c r="E94" t="s">
        <v>54</v>
      </c>
      <c r="F94">
        <v>3</v>
      </c>
      <c r="G94" t="s">
        <v>2</v>
      </c>
      <c r="H94">
        <f t="shared" ca="1" si="3"/>
        <v>3</v>
      </c>
      <c r="J94" t="b">
        <f>IF(MID(ExplodedBOM!$E94,1,1)="(",TRUE,FALSE)</f>
        <v>0</v>
      </c>
    </row>
    <row r="95" spans="1:10" hidden="1" x14ac:dyDescent="0.25">
      <c r="A95">
        <f t="shared" ca="1" si="2"/>
        <v>1</v>
      </c>
      <c r="B95" s="2">
        <f>SUMPRODUCT(MAX(ROW($2:95)*($D$2:D95=(D95-1))))</f>
        <v>90</v>
      </c>
      <c r="C95" s="2"/>
      <c r="D95">
        <v>2</v>
      </c>
      <c r="E95" t="s">
        <v>4</v>
      </c>
      <c r="F95">
        <v>1</v>
      </c>
      <c r="G95" t="s">
        <v>2</v>
      </c>
      <c r="H95">
        <f t="shared" ca="1" si="3"/>
        <v>1</v>
      </c>
      <c r="J95" t="b">
        <f>IF(MID(ExplodedBOM!$E95,1,1)="(",TRUE,FALSE)</f>
        <v>0</v>
      </c>
    </row>
    <row r="96" spans="1:10" hidden="1" x14ac:dyDescent="0.25">
      <c r="A96">
        <f t="shared" ca="1" si="2"/>
        <v>1</v>
      </c>
      <c r="B96" s="2">
        <f>SUMPRODUCT(MAX(ROW($2:96)*($D$2:D96=(D96-1))))</f>
        <v>90</v>
      </c>
      <c r="C96" s="2"/>
      <c r="D96">
        <v>2</v>
      </c>
      <c r="E96" t="s">
        <v>55</v>
      </c>
      <c r="F96">
        <v>2</v>
      </c>
      <c r="G96" t="s">
        <v>2</v>
      </c>
      <c r="H96">
        <f t="shared" ca="1" si="3"/>
        <v>2</v>
      </c>
      <c r="J96" t="b">
        <f>IF(MID(ExplodedBOM!$E96,1,1)="(",TRUE,FALSE)</f>
        <v>0</v>
      </c>
    </row>
    <row r="97" spans="1:10" hidden="1" x14ac:dyDescent="0.25">
      <c r="A97">
        <f t="shared" ca="1" si="2"/>
        <v>1</v>
      </c>
      <c r="B97" s="2">
        <f>SUMPRODUCT(MAX(ROW($2:97)*($D$2:D97=(D97-1))))</f>
        <v>90</v>
      </c>
      <c r="C97" s="2"/>
      <c r="D97">
        <v>2</v>
      </c>
      <c r="E97" t="s">
        <v>56</v>
      </c>
      <c r="F97">
        <v>1</v>
      </c>
      <c r="G97" t="s">
        <v>2</v>
      </c>
      <c r="H97">
        <f t="shared" ca="1" si="3"/>
        <v>1</v>
      </c>
      <c r="J97" t="b">
        <f>IF(MID(ExplodedBOM!$E97,1,1)="(",TRUE,FALSE)</f>
        <v>0</v>
      </c>
    </row>
    <row r="98" spans="1:10" x14ac:dyDescent="0.25">
      <c r="A98">
        <f t="shared" ca="1" si="2"/>
        <v>1</v>
      </c>
      <c r="B98" s="2">
        <f>SUMPRODUCT(MAX(ROW($2:98)*($D$2:D98=(D98-1))))</f>
        <v>90</v>
      </c>
      <c r="C98" s="2"/>
      <c r="D98">
        <v>2</v>
      </c>
      <c r="E98" t="s">
        <v>57</v>
      </c>
      <c r="F98">
        <v>1</v>
      </c>
      <c r="G98" t="s">
        <v>2</v>
      </c>
      <c r="H98">
        <f t="shared" ca="1" si="3"/>
        <v>1</v>
      </c>
      <c r="J98" t="b">
        <f>IF(MID(ExplodedBOM!$E98,1,1)="(",TRUE,FALSE)</f>
        <v>0</v>
      </c>
    </row>
    <row r="99" spans="1:10" x14ac:dyDescent="0.25">
      <c r="A99">
        <f t="shared" ca="1" si="2"/>
        <v>1</v>
      </c>
      <c r="B99" s="2">
        <f>SUMPRODUCT(MAX(ROW($2:99)*($D$2:D99=(D99-1))))</f>
        <v>90</v>
      </c>
      <c r="C99" s="2"/>
      <c r="D99">
        <v>2</v>
      </c>
      <c r="E99" t="s">
        <v>58</v>
      </c>
      <c r="F99">
        <v>1</v>
      </c>
      <c r="G99" t="s">
        <v>2</v>
      </c>
      <c r="H99">
        <f t="shared" ca="1" si="3"/>
        <v>1</v>
      </c>
      <c r="J99" t="b">
        <f>IF(MID(ExplodedBOM!$E99,1,1)="(",TRUE,FALSE)</f>
        <v>0</v>
      </c>
    </row>
    <row r="100" spans="1:10" hidden="1" x14ac:dyDescent="0.25">
      <c r="A100">
        <f t="shared" ca="1" si="2"/>
        <v>1</v>
      </c>
      <c r="B100" s="2">
        <f>SUMPRODUCT(MAX(ROW($2:100)*($D$2:D100=(D100-1))))</f>
        <v>90</v>
      </c>
      <c r="C100" s="2"/>
      <c r="D100">
        <v>2</v>
      </c>
      <c r="E100" t="s">
        <v>5</v>
      </c>
      <c r="F100">
        <v>4</v>
      </c>
      <c r="G100" t="s">
        <v>2</v>
      </c>
      <c r="H100">
        <f t="shared" ca="1" si="3"/>
        <v>4</v>
      </c>
      <c r="J100" t="b">
        <f>IF(MID(ExplodedBOM!$E100,1,1)="(",TRUE,FALSE)</f>
        <v>0</v>
      </c>
    </row>
    <row r="101" spans="1:10" hidden="1" x14ac:dyDescent="0.25">
      <c r="A101">
        <f t="shared" ca="1" si="2"/>
        <v>1</v>
      </c>
      <c r="B101" s="2">
        <f>SUMPRODUCT(MAX(ROW($2:101)*($D$2:D101=(D101-1))))</f>
        <v>90</v>
      </c>
      <c r="C101" s="2"/>
      <c r="D101">
        <v>2</v>
      </c>
      <c r="E101" t="s">
        <v>30</v>
      </c>
      <c r="F101">
        <v>4</v>
      </c>
      <c r="G101" t="s">
        <v>2</v>
      </c>
      <c r="H101">
        <f t="shared" ca="1" si="3"/>
        <v>4</v>
      </c>
      <c r="J101" t="b">
        <f>IF(MID(ExplodedBOM!$E101,1,1)="(",TRUE,FALSE)</f>
        <v>0</v>
      </c>
    </row>
    <row r="102" spans="1:10" hidden="1" x14ac:dyDescent="0.25">
      <c r="A102">
        <f t="shared" ca="1" si="2"/>
        <v>1</v>
      </c>
      <c r="B102" s="2">
        <f>SUMPRODUCT(MAX(ROW($2:102)*($D$2:D102=(D102-1))))</f>
        <v>2</v>
      </c>
      <c r="C102" s="2"/>
      <c r="D102">
        <v>1</v>
      </c>
      <c r="E102" t="s">
        <v>59</v>
      </c>
      <c r="F102">
        <v>1</v>
      </c>
      <c r="G102" t="s">
        <v>2</v>
      </c>
      <c r="H102">
        <f t="shared" ca="1" si="3"/>
        <v>1</v>
      </c>
      <c r="J102" t="b">
        <f>IF(MID(ExplodedBOM!$E102,1,1)="(",TRUE,FALSE)</f>
        <v>1</v>
      </c>
    </row>
    <row r="103" spans="1:10" hidden="1" x14ac:dyDescent="0.25">
      <c r="A103">
        <f t="shared" ca="1" si="2"/>
        <v>1</v>
      </c>
      <c r="B103" s="2">
        <f>SUMPRODUCT(MAX(ROW($2:103)*($D$2:D103=(D103-1))))</f>
        <v>102</v>
      </c>
      <c r="C103" s="2"/>
      <c r="D103">
        <v>2</v>
      </c>
      <c r="E103" t="s">
        <v>60</v>
      </c>
      <c r="F103">
        <v>2</v>
      </c>
      <c r="G103" t="s">
        <v>2</v>
      </c>
      <c r="H103">
        <f t="shared" ca="1" si="3"/>
        <v>2</v>
      </c>
      <c r="J103" t="b">
        <f>IF(MID(ExplodedBOM!$E103,1,1)="(",TRUE,FALSE)</f>
        <v>1</v>
      </c>
    </row>
    <row r="104" spans="1:10" hidden="1" x14ac:dyDescent="0.25">
      <c r="A104">
        <f t="shared" ca="1" si="2"/>
        <v>2</v>
      </c>
      <c r="B104" s="2">
        <f>SUMPRODUCT(MAX(ROW($2:104)*($D$2:D104=(D104-1))))</f>
        <v>103</v>
      </c>
      <c r="C104" s="2"/>
      <c r="D104">
        <v>3</v>
      </c>
      <c r="E104" t="s">
        <v>53</v>
      </c>
      <c r="F104">
        <v>2</v>
      </c>
      <c r="G104" t="s">
        <v>2</v>
      </c>
      <c r="H104">
        <f t="shared" ca="1" si="3"/>
        <v>4</v>
      </c>
      <c r="J104" t="b">
        <f>IF(MID(ExplodedBOM!$E104,1,1)="(",TRUE,FALSE)</f>
        <v>0</v>
      </c>
    </row>
    <row r="105" spans="1:10" hidden="1" x14ac:dyDescent="0.25">
      <c r="A105">
        <f t="shared" ca="1" si="2"/>
        <v>2</v>
      </c>
      <c r="B105" s="2">
        <f>SUMPRODUCT(MAX(ROW($2:105)*($D$2:D105=(D105-1))))</f>
        <v>103</v>
      </c>
      <c r="C105" s="2"/>
      <c r="D105">
        <v>3</v>
      </c>
      <c r="E105" t="s">
        <v>179</v>
      </c>
      <c r="F105">
        <v>2</v>
      </c>
      <c r="G105" t="s">
        <v>2</v>
      </c>
      <c r="H105">
        <f t="shared" ca="1" si="3"/>
        <v>4</v>
      </c>
      <c r="J105" t="b">
        <f>IF(MID(ExplodedBOM!$E105,1,1)="(",TRUE,FALSE)</f>
        <v>0</v>
      </c>
    </row>
    <row r="106" spans="1:10" hidden="1" x14ac:dyDescent="0.25">
      <c r="A106">
        <f t="shared" ca="1" si="2"/>
        <v>2</v>
      </c>
      <c r="B106" s="2">
        <f>SUMPRODUCT(MAX(ROW($2:106)*($D$2:D106=(D106-1))))</f>
        <v>103</v>
      </c>
      <c r="C106" s="2"/>
      <c r="D106">
        <v>3</v>
      </c>
      <c r="E106" t="s">
        <v>61</v>
      </c>
      <c r="F106">
        <v>4</v>
      </c>
      <c r="G106" t="s">
        <v>2</v>
      </c>
      <c r="H106">
        <f t="shared" ca="1" si="3"/>
        <v>8</v>
      </c>
      <c r="J106" t="b">
        <f>IF(MID(ExplodedBOM!$E106,1,1)="(",TRUE,FALSE)</f>
        <v>0</v>
      </c>
    </row>
    <row r="107" spans="1:10" hidden="1" x14ac:dyDescent="0.25">
      <c r="A107">
        <f t="shared" ca="1" si="2"/>
        <v>2</v>
      </c>
      <c r="B107" s="2">
        <f>SUMPRODUCT(MAX(ROW($2:107)*($D$2:D107=(D107-1))))</f>
        <v>103</v>
      </c>
      <c r="C107" s="2"/>
      <c r="D107">
        <v>3</v>
      </c>
      <c r="E107" t="s">
        <v>27</v>
      </c>
      <c r="F107">
        <v>2</v>
      </c>
      <c r="G107" t="s">
        <v>2</v>
      </c>
      <c r="H107">
        <f t="shared" ca="1" si="3"/>
        <v>4</v>
      </c>
      <c r="J107" t="b">
        <f>IF(MID(ExplodedBOM!$E107,1,1)="(",TRUE,FALSE)</f>
        <v>0</v>
      </c>
    </row>
    <row r="108" spans="1:10" hidden="1" x14ac:dyDescent="0.25">
      <c r="A108">
        <f t="shared" ca="1" si="2"/>
        <v>2</v>
      </c>
      <c r="B108" s="2">
        <f>SUMPRODUCT(MAX(ROW($2:108)*($D$2:D108=(D108-1))))</f>
        <v>103</v>
      </c>
      <c r="C108" s="2"/>
      <c r="D108">
        <v>3</v>
      </c>
      <c r="E108" t="s">
        <v>62</v>
      </c>
      <c r="F108">
        <v>1</v>
      </c>
      <c r="G108" t="s">
        <v>2</v>
      </c>
      <c r="H108">
        <f t="shared" ca="1" si="3"/>
        <v>2</v>
      </c>
      <c r="J108" t="b">
        <f>IF(MID(ExplodedBOM!$E108,1,1)="(",TRUE,FALSE)</f>
        <v>0</v>
      </c>
    </row>
    <row r="109" spans="1:10" hidden="1" x14ac:dyDescent="0.25">
      <c r="A109">
        <f t="shared" ca="1" si="2"/>
        <v>2</v>
      </c>
      <c r="B109" s="2">
        <f>SUMPRODUCT(MAX(ROW($2:109)*($D$2:D109=(D109-1))))</f>
        <v>103</v>
      </c>
      <c r="C109" s="2"/>
      <c r="D109">
        <v>3</v>
      </c>
      <c r="E109" t="s">
        <v>63</v>
      </c>
      <c r="F109">
        <v>1</v>
      </c>
      <c r="G109" t="s">
        <v>2</v>
      </c>
      <c r="H109">
        <f t="shared" ca="1" si="3"/>
        <v>2</v>
      </c>
      <c r="J109" t="b">
        <f>IF(MID(ExplodedBOM!$E109,1,1)="(",TRUE,FALSE)</f>
        <v>0</v>
      </c>
    </row>
    <row r="110" spans="1:10" hidden="1" x14ac:dyDescent="0.25">
      <c r="A110">
        <f t="shared" ca="1" si="2"/>
        <v>2</v>
      </c>
      <c r="B110" s="2">
        <f>SUMPRODUCT(MAX(ROW($2:110)*($D$2:D110=(D110-1))))</f>
        <v>103</v>
      </c>
      <c r="C110" s="2"/>
      <c r="D110">
        <v>3</v>
      </c>
      <c r="E110" t="s">
        <v>64</v>
      </c>
      <c r="F110">
        <v>2</v>
      </c>
      <c r="G110" t="s">
        <v>2</v>
      </c>
      <c r="H110">
        <f t="shared" ca="1" si="3"/>
        <v>4</v>
      </c>
      <c r="J110" t="b">
        <f>IF(MID(ExplodedBOM!$E110,1,1)="(",TRUE,FALSE)</f>
        <v>0</v>
      </c>
    </row>
    <row r="111" spans="1:10" hidden="1" x14ac:dyDescent="0.25">
      <c r="A111">
        <f t="shared" ca="1" si="2"/>
        <v>2</v>
      </c>
      <c r="B111" s="2">
        <f>SUMPRODUCT(MAX(ROW($2:111)*($D$2:D111=(D111-1))))</f>
        <v>103</v>
      </c>
      <c r="C111" s="2"/>
      <c r="D111">
        <v>3</v>
      </c>
      <c r="E111" t="s">
        <v>65</v>
      </c>
      <c r="F111">
        <v>1</v>
      </c>
      <c r="G111" t="s">
        <v>2</v>
      </c>
      <c r="H111">
        <f t="shared" ca="1" si="3"/>
        <v>2</v>
      </c>
      <c r="J111" t="b">
        <f>IF(MID(ExplodedBOM!$E111,1,1)="(",TRUE,FALSE)</f>
        <v>0</v>
      </c>
    </row>
    <row r="112" spans="1:10" hidden="1" x14ac:dyDescent="0.25">
      <c r="A112">
        <f t="shared" ca="1" si="2"/>
        <v>2</v>
      </c>
      <c r="B112" s="2">
        <f>SUMPRODUCT(MAX(ROW($2:112)*($D$2:D112=(D112-1))))</f>
        <v>103</v>
      </c>
      <c r="C112" s="2"/>
      <c r="D112">
        <v>3</v>
      </c>
      <c r="E112" t="s">
        <v>245</v>
      </c>
      <c r="F112">
        <v>1</v>
      </c>
      <c r="G112" t="s">
        <v>2</v>
      </c>
      <c r="H112">
        <f t="shared" ca="1" si="3"/>
        <v>2</v>
      </c>
      <c r="J112" t="b">
        <f>IF(MID(ExplodedBOM!$E112,1,1)="(",TRUE,FALSE)</f>
        <v>0</v>
      </c>
    </row>
    <row r="113" spans="1:10" hidden="1" x14ac:dyDescent="0.25">
      <c r="A113">
        <f t="shared" ca="1" si="2"/>
        <v>2</v>
      </c>
      <c r="B113" s="2">
        <f>SUMPRODUCT(MAX(ROW($2:113)*($D$2:D113=(D113-1))))</f>
        <v>103</v>
      </c>
      <c r="C113" s="2"/>
      <c r="D113">
        <v>3</v>
      </c>
      <c r="E113" t="s">
        <v>69</v>
      </c>
      <c r="F113">
        <v>2</v>
      </c>
      <c r="G113" t="s">
        <v>2</v>
      </c>
      <c r="H113">
        <f t="shared" ca="1" si="3"/>
        <v>4</v>
      </c>
      <c r="J113" t="b">
        <f>IF(MID(ExplodedBOM!$E113,1,1)="(",TRUE,FALSE)</f>
        <v>0</v>
      </c>
    </row>
    <row r="114" spans="1:10" hidden="1" x14ac:dyDescent="0.25">
      <c r="A114">
        <f t="shared" ca="1" si="2"/>
        <v>2</v>
      </c>
      <c r="B114" s="2">
        <f>SUMPRODUCT(MAX(ROW($2:114)*($D$2:D114=(D114-1))))</f>
        <v>103</v>
      </c>
      <c r="C114" s="2"/>
      <c r="D114">
        <v>3</v>
      </c>
      <c r="E114" t="s">
        <v>70</v>
      </c>
      <c r="F114">
        <v>2</v>
      </c>
      <c r="G114" t="s">
        <v>2</v>
      </c>
      <c r="H114">
        <f t="shared" ca="1" si="3"/>
        <v>4</v>
      </c>
      <c r="J114" t="b">
        <f>IF(MID(ExplodedBOM!$E114,1,1)="(",TRUE,FALSE)</f>
        <v>0</v>
      </c>
    </row>
    <row r="115" spans="1:10" hidden="1" x14ac:dyDescent="0.25">
      <c r="A115">
        <f t="shared" ca="1" si="2"/>
        <v>2</v>
      </c>
      <c r="B115" s="2">
        <f>SUMPRODUCT(MAX(ROW($2:115)*($D$2:D115=(D115-1))))</f>
        <v>103</v>
      </c>
      <c r="C115" s="2"/>
      <c r="D115">
        <v>3</v>
      </c>
      <c r="E115" t="s">
        <v>6</v>
      </c>
      <c r="F115">
        <v>4</v>
      </c>
      <c r="G115" t="s">
        <v>2</v>
      </c>
      <c r="H115">
        <f t="shared" ca="1" si="3"/>
        <v>8</v>
      </c>
      <c r="J115" t="b">
        <f>IF(MID(ExplodedBOM!$E115,1,1)="(",TRUE,FALSE)</f>
        <v>0</v>
      </c>
    </row>
    <row r="116" spans="1:10" hidden="1" x14ac:dyDescent="0.25">
      <c r="A116">
        <f t="shared" ca="1" si="2"/>
        <v>2</v>
      </c>
      <c r="B116" s="2">
        <f>SUMPRODUCT(MAX(ROW($2:116)*($D$2:D116=(D116-1))))</f>
        <v>103</v>
      </c>
      <c r="C116" s="2"/>
      <c r="D116">
        <v>3</v>
      </c>
      <c r="E116" t="s">
        <v>14</v>
      </c>
      <c r="F116">
        <v>2</v>
      </c>
      <c r="G116" t="s">
        <v>2</v>
      </c>
      <c r="H116">
        <f t="shared" ca="1" si="3"/>
        <v>4</v>
      </c>
      <c r="J116" t="b">
        <f>IF(MID(ExplodedBOM!$E116,1,1)="(",TRUE,FALSE)</f>
        <v>0</v>
      </c>
    </row>
    <row r="117" spans="1:10" hidden="1" x14ac:dyDescent="0.25">
      <c r="A117">
        <f t="shared" ca="1" si="2"/>
        <v>2</v>
      </c>
      <c r="B117" s="2">
        <f>SUMPRODUCT(MAX(ROW($2:117)*($D$2:D117=(D117-1))))</f>
        <v>103</v>
      </c>
      <c r="C117" s="2"/>
      <c r="D117">
        <v>3</v>
      </c>
      <c r="E117" t="s">
        <v>16</v>
      </c>
      <c r="F117">
        <v>1</v>
      </c>
      <c r="G117" t="s">
        <v>2</v>
      </c>
      <c r="H117">
        <f t="shared" ca="1" si="3"/>
        <v>2</v>
      </c>
      <c r="J117" t="b">
        <f>IF(MID(ExplodedBOM!$E117,1,1)="(",TRUE,FALSE)</f>
        <v>0</v>
      </c>
    </row>
    <row r="118" spans="1:10" hidden="1" x14ac:dyDescent="0.25">
      <c r="A118">
        <f t="shared" ca="1" si="2"/>
        <v>2</v>
      </c>
      <c r="B118" s="2">
        <f>SUMPRODUCT(MAX(ROW($2:118)*($D$2:D118=(D118-1))))</f>
        <v>103</v>
      </c>
      <c r="C118" s="2"/>
      <c r="D118">
        <v>3</v>
      </c>
      <c r="E118" t="s">
        <v>77</v>
      </c>
      <c r="F118">
        <v>1</v>
      </c>
      <c r="G118" t="s">
        <v>2</v>
      </c>
      <c r="H118">
        <f t="shared" ca="1" si="3"/>
        <v>2</v>
      </c>
      <c r="J118" t="b">
        <f>IF(MID(ExplodedBOM!$E118,1,1)="(",TRUE,FALSE)</f>
        <v>0</v>
      </c>
    </row>
    <row r="119" spans="1:10" hidden="1" x14ac:dyDescent="0.25">
      <c r="A119">
        <f t="shared" ca="1" si="2"/>
        <v>1</v>
      </c>
      <c r="B119" s="2">
        <f>SUMPRODUCT(MAX(ROW($2:119)*($D$2:D119=(D119-1))))</f>
        <v>102</v>
      </c>
      <c r="C119" s="2"/>
      <c r="D119">
        <v>2</v>
      </c>
      <c r="E119" t="s">
        <v>71</v>
      </c>
      <c r="F119">
        <v>1</v>
      </c>
      <c r="G119" t="s">
        <v>2</v>
      </c>
      <c r="H119">
        <f t="shared" ca="1" si="3"/>
        <v>1</v>
      </c>
      <c r="J119" t="b">
        <f>IF(MID(ExplodedBOM!$E119,1,1)="(",TRUE,FALSE)</f>
        <v>1</v>
      </c>
    </row>
    <row r="120" spans="1:10" x14ac:dyDescent="0.25">
      <c r="A120">
        <f t="shared" ca="1" si="2"/>
        <v>1</v>
      </c>
      <c r="B120" s="2">
        <f>SUMPRODUCT(MAX(ROW($2:120)*($D$2:D120=(D120-1))))</f>
        <v>119</v>
      </c>
      <c r="C120" s="2"/>
      <c r="D120">
        <v>3</v>
      </c>
      <c r="E120" t="s">
        <v>280</v>
      </c>
      <c r="F120">
        <v>1</v>
      </c>
      <c r="G120" t="s">
        <v>2</v>
      </c>
      <c r="H120">
        <f ca="1">F120*A120</f>
        <v>1</v>
      </c>
      <c r="J120" s="5" t="b">
        <f>IF(MID(ExplodedBOM!$E120,1,1)="(",TRUE,FALSE)</f>
        <v>0</v>
      </c>
    </row>
    <row r="121" spans="1:10" x14ac:dyDescent="0.25">
      <c r="A121">
        <f t="shared" ca="1" si="2"/>
        <v>1</v>
      </c>
      <c r="B121" s="2">
        <f>SUMPRODUCT(MAX(ROW($2:121)*($D$2:D121=(D121-1))))</f>
        <v>119</v>
      </c>
      <c r="C121" s="2"/>
      <c r="D121">
        <v>3</v>
      </c>
      <c r="E121" t="s">
        <v>66</v>
      </c>
      <c r="F121">
        <v>1</v>
      </c>
      <c r="G121" t="s">
        <v>2</v>
      </c>
      <c r="H121">
        <f t="shared" ca="1" si="3"/>
        <v>1</v>
      </c>
      <c r="J121" t="b">
        <f>IF(MID(ExplodedBOM!$E121,1,1)="(",TRUE,FALSE)</f>
        <v>0</v>
      </c>
    </row>
    <row r="122" spans="1:10" x14ac:dyDescent="0.25">
      <c r="A122">
        <f t="shared" ca="1" si="2"/>
        <v>1</v>
      </c>
      <c r="B122" s="2">
        <f>SUMPRODUCT(MAX(ROW($2:122)*($D$2:D122=(D122-1))))</f>
        <v>119</v>
      </c>
      <c r="C122" s="2"/>
      <c r="D122">
        <v>3</v>
      </c>
      <c r="E122" t="s">
        <v>67</v>
      </c>
      <c r="F122">
        <v>1</v>
      </c>
      <c r="G122" t="s">
        <v>2</v>
      </c>
      <c r="H122">
        <f t="shared" ca="1" si="3"/>
        <v>1</v>
      </c>
      <c r="J122" t="b">
        <f>IF(MID(ExplodedBOM!$E122,1,1)="(",TRUE,FALSE)</f>
        <v>0</v>
      </c>
    </row>
    <row r="123" spans="1:10" x14ac:dyDescent="0.25">
      <c r="A123">
        <f t="shared" ca="1" si="2"/>
        <v>1</v>
      </c>
      <c r="B123" s="2">
        <f>SUMPRODUCT(MAX(ROW($2:123)*($D$2:D123=(D123-1))))</f>
        <v>119</v>
      </c>
      <c r="C123" s="2"/>
      <c r="D123">
        <v>3</v>
      </c>
      <c r="E123" t="s">
        <v>68</v>
      </c>
      <c r="F123">
        <v>1</v>
      </c>
      <c r="G123" t="s">
        <v>2</v>
      </c>
      <c r="H123">
        <f t="shared" ca="1" si="3"/>
        <v>1</v>
      </c>
      <c r="J123" t="b">
        <f>IF(MID(ExplodedBOM!$E123,1,1)="(",TRUE,FALSE)</f>
        <v>0</v>
      </c>
    </row>
    <row r="124" spans="1:10" hidden="1" x14ac:dyDescent="0.25">
      <c r="A124">
        <f t="shared" ca="1" si="2"/>
        <v>1</v>
      </c>
      <c r="B124" s="2">
        <f>SUMPRODUCT(MAX(ROW($2:124)*($D$2:D124=(D124-1))))</f>
        <v>119</v>
      </c>
      <c r="C124" s="2"/>
      <c r="D124">
        <v>3</v>
      </c>
      <c r="E124" t="s">
        <v>134</v>
      </c>
      <c r="F124">
        <v>1</v>
      </c>
      <c r="G124" t="s">
        <v>2</v>
      </c>
      <c r="H124">
        <f t="shared" ca="1" si="3"/>
        <v>1</v>
      </c>
      <c r="J124" t="b">
        <f>IF(MID(ExplodedBOM!$E124,1,1)="(",TRUE,FALSE)</f>
        <v>0</v>
      </c>
    </row>
    <row r="125" spans="1:10" hidden="1" x14ac:dyDescent="0.25">
      <c r="A125">
        <f t="shared" ca="1" si="2"/>
        <v>1</v>
      </c>
      <c r="B125" s="2">
        <f>SUMPRODUCT(MAX(ROW($2:125)*($D$2:D125=(D125-1))))</f>
        <v>119</v>
      </c>
      <c r="C125" s="2"/>
      <c r="D125">
        <v>3</v>
      </c>
      <c r="E125" t="s">
        <v>116</v>
      </c>
      <c r="F125">
        <v>1</v>
      </c>
      <c r="G125" t="s">
        <v>2</v>
      </c>
      <c r="H125">
        <f t="shared" ca="1" si="3"/>
        <v>1</v>
      </c>
      <c r="J125" t="b">
        <f>IF(MID(ExplodedBOM!$E125,1,1)="(",TRUE,FALSE)</f>
        <v>0</v>
      </c>
    </row>
    <row r="126" spans="1:10" hidden="1" x14ac:dyDescent="0.25">
      <c r="A126">
        <f t="shared" ca="1" si="2"/>
        <v>1</v>
      </c>
      <c r="B126" s="2">
        <f>SUMPRODUCT(MAX(ROW($2:126)*($D$2:D126=(D126-1))))</f>
        <v>102</v>
      </c>
      <c r="C126" s="2"/>
      <c r="D126">
        <v>2</v>
      </c>
      <c r="E126" t="s">
        <v>72</v>
      </c>
      <c r="F126">
        <v>1</v>
      </c>
      <c r="G126" t="s">
        <v>2</v>
      </c>
      <c r="H126">
        <f t="shared" ca="1" si="3"/>
        <v>1</v>
      </c>
      <c r="J126" t="b">
        <f>IF(MID(ExplodedBOM!$E126,1,1)="(",TRUE,FALSE)</f>
        <v>1</v>
      </c>
    </row>
    <row r="127" spans="1:10" x14ac:dyDescent="0.25">
      <c r="A127">
        <f t="shared" ca="1" si="2"/>
        <v>1</v>
      </c>
      <c r="B127" s="2">
        <f>SUMPRODUCT(MAX(ROW($2:127)*($D$2:D127=(D127-1))))</f>
        <v>126</v>
      </c>
      <c r="C127" s="2"/>
      <c r="D127">
        <v>3</v>
      </c>
      <c r="E127" t="s">
        <v>280</v>
      </c>
      <c r="F127">
        <v>1</v>
      </c>
      <c r="G127" t="s">
        <v>2</v>
      </c>
      <c r="H127">
        <f t="shared" ca="1" si="3"/>
        <v>1</v>
      </c>
      <c r="J127" s="5" t="b">
        <f>IF(MID(ExplodedBOM!$E127,1,1)="(",TRUE,FALSE)</f>
        <v>0</v>
      </c>
    </row>
    <row r="128" spans="1:10" x14ac:dyDescent="0.25">
      <c r="A128">
        <f t="shared" ca="1" si="2"/>
        <v>1</v>
      </c>
      <c r="B128" s="2">
        <f>SUMPRODUCT(MAX(ROW($2:128)*($D$2:D128=(D128-1))))</f>
        <v>126</v>
      </c>
      <c r="C128" s="2"/>
      <c r="D128">
        <v>3</v>
      </c>
      <c r="E128" t="s">
        <v>73</v>
      </c>
      <c r="F128">
        <v>1</v>
      </c>
      <c r="G128" t="s">
        <v>2</v>
      </c>
      <c r="H128">
        <f t="shared" ca="1" si="3"/>
        <v>1</v>
      </c>
      <c r="J128" t="b">
        <f>IF(MID(ExplodedBOM!$E128,1,1)="(",TRUE,FALSE)</f>
        <v>0</v>
      </c>
    </row>
    <row r="129" spans="1:10" x14ac:dyDescent="0.25">
      <c r="A129">
        <f t="shared" ca="1" si="2"/>
        <v>1</v>
      </c>
      <c r="B129" s="2">
        <f>SUMPRODUCT(MAX(ROW($2:129)*($D$2:D129=(D129-1))))</f>
        <v>126</v>
      </c>
      <c r="C129" s="2"/>
      <c r="D129">
        <v>3</v>
      </c>
      <c r="E129" t="s">
        <v>67</v>
      </c>
      <c r="F129">
        <v>1</v>
      </c>
      <c r="G129" t="s">
        <v>2</v>
      </c>
      <c r="H129">
        <f t="shared" ca="1" si="3"/>
        <v>1</v>
      </c>
      <c r="J129" t="b">
        <f>IF(MID(ExplodedBOM!$E129,1,1)="(",TRUE,FALSE)</f>
        <v>0</v>
      </c>
    </row>
    <row r="130" spans="1:10" x14ac:dyDescent="0.25">
      <c r="A130">
        <f t="shared" ca="1" si="2"/>
        <v>1</v>
      </c>
      <c r="B130" s="2">
        <f>SUMPRODUCT(MAX(ROW($2:130)*($D$2:D130=(D130-1))))</f>
        <v>126</v>
      </c>
      <c r="C130" s="2"/>
      <c r="D130">
        <v>3</v>
      </c>
      <c r="E130" t="s">
        <v>68</v>
      </c>
      <c r="F130">
        <v>1</v>
      </c>
      <c r="G130" t="s">
        <v>2</v>
      </c>
      <c r="H130">
        <f t="shared" ca="1" si="3"/>
        <v>1</v>
      </c>
      <c r="J130" t="b">
        <f>IF(MID(ExplodedBOM!$E130,1,1)="(",TRUE,FALSE)</f>
        <v>0</v>
      </c>
    </row>
    <row r="131" spans="1:10" hidden="1" x14ac:dyDescent="0.25">
      <c r="A131">
        <f t="shared" ca="1" si="2"/>
        <v>1</v>
      </c>
      <c r="B131" s="2">
        <f>SUMPRODUCT(MAX(ROW($2:131)*($D$2:D131=(D131-1))))</f>
        <v>126</v>
      </c>
      <c r="C131" s="2"/>
      <c r="D131">
        <v>3</v>
      </c>
      <c r="E131" t="s">
        <v>134</v>
      </c>
      <c r="F131">
        <v>1</v>
      </c>
      <c r="G131" t="s">
        <v>2</v>
      </c>
      <c r="H131">
        <f t="shared" ca="1" si="3"/>
        <v>1</v>
      </c>
      <c r="J131" t="b">
        <f>IF(MID(ExplodedBOM!$E131,1,1)="(",TRUE,FALSE)</f>
        <v>0</v>
      </c>
    </row>
    <row r="132" spans="1:10" hidden="1" x14ac:dyDescent="0.25">
      <c r="A132">
        <f t="shared" ca="1" si="2"/>
        <v>1</v>
      </c>
      <c r="B132" s="2">
        <f>SUMPRODUCT(MAX(ROW($2:132)*($D$2:D132=(D132-1))))</f>
        <v>126</v>
      </c>
      <c r="C132" s="2"/>
      <c r="D132">
        <v>3</v>
      </c>
      <c r="E132" t="s">
        <v>116</v>
      </c>
      <c r="F132">
        <v>1</v>
      </c>
      <c r="G132" t="s">
        <v>2</v>
      </c>
      <c r="H132">
        <f t="shared" ca="1" si="3"/>
        <v>1</v>
      </c>
      <c r="J132" t="b">
        <f>IF(MID(ExplodedBOM!$E132,1,1)="(",TRUE,FALSE)</f>
        <v>0</v>
      </c>
    </row>
    <row r="133" spans="1:10" hidden="1" x14ac:dyDescent="0.25">
      <c r="A133">
        <f t="shared" ref="A133:A197" ca="1" si="4">IF(MID(E132,1,1)="(",F132*A132,
      IF(D133&lt;D132,INDIRECT("A" &amp; B133+1),A132)
)</f>
        <v>1</v>
      </c>
      <c r="B133" s="2">
        <f>SUMPRODUCT(MAX(ROW($2:133)*($D$2:D133=(D133-1))))</f>
        <v>2</v>
      </c>
      <c r="C133" s="2"/>
      <c r="D133">
        <v>1</v>
      </c>
      <c r="E133" t="s">
        <v>76</v>
      </c>
      <c r="F133">
        <v>1</v>
      </c>
      <c r="G133" t="s">
        <v>2</v>
      </c>
      <c r="H133">
        <f t="shared" ca="1" si="3"/>
        <v>1</v>
      </c>
      <c r="J133" t="b">
        <f>IF(MID(ExplodedBOM!$E133,1,1)="(",TRUE,FALSE)</f>
        <v>1</v>
      </c>
    </row>
    <row r="134" spans="1:10" hidden="1" x14ac:dyDescent="0.25">
      <c r="A134">
        <f t="shared" ca="1" si="4"/>
        <v>1</v>
      </c>
      <c r="B134" s="2">
        <f>SUMPRODUCT(MAX(ROW($2:134)*($D$2:D134=(D134-1))))</f>
        <v>133</v>
      </c>
      <c r="C134" s="2"/>
      <c r="D134">
        <v>2</v>
      </c>
      <c r="E134" t="s">
        <v>74</v>
      </c>
      <c r="F134">
        <v>1</v>
      </c>
      <c r="G134" t="s">
        <v>2</v>
      </c>
      <c r="H134">
        <f t="shared" ref="H134:H184" ca="1" si="5">F134*A134</f>
        <v>1</v>
      </c>
      <c r="J134" t="b">
        <f>IF(MID(ExplodedBOM!$E134,1,1)="(",TRUE,FALSE)</f>
        <v>0</v>
      </c>
    </row>
    <row r="135" spans="1:10" x14ac:dyDescent="0.25">
      <c r="A135">
        <f t="shared" ca="1" si="4"/>
        <v>1</v>
      </c>
      <c r="B135" s="2">
        <f>SUMPRODUCT(MAX(ROW($2:135)*($D$2:D135=(D135-1))))</f>
        <v>133</v>
      </c>
      <c r="C135" s="2"/>
      <c r="D135">
        <v>2</v>
      </c>
      <c r="E135" t="s">
        <v>75</v>
      </c>
      <c r="F135">
        <v>3</v>
      </c>
      <c r="G135" t="s">
        <v>2</v>
      </c>
      <c r="H135">
        <f t="shared" ca="1" si="5"/>
        <v>3</v>
      </c>
      <c r="J135" t="b">
        <f>IF(MID(ExplodedBOM!$E135,1,1)="(",TRUE,FALSE)</f>
        <v>0</v>
      </c>
    </row>
    <row r="136" spans="1:10" hidden="1" x14ac:dyDescent="0.25">
      <c r="A136">
        <f t="shared" ca="1" si="4"/>
        <v>1</v>
      </c>
      <c r="B136" s="2">
        <f>SUMPRODUCT(MAX(ROW($2:136)*($D$2:D136=(D136-1))))</f>
        <v>133</v>
      </c>
      <c r="C136" s="2"/>
      <c r="D136">
        <v>2</v>
      </c>
      <c r="E136" t="s">
        <v>30</v>
      </c>
      <c r="F136">
        <v>6</v>
      </c>
      <c r="G136" t="s">
        <v>2</v>
      </c>
      <c r="H136">
        <f t="shared" ca="1" si="5"/>
        <v>6</v>
      </c>
      <c r="J136" t="b">
        <f>IF(MID(ExplodedBOM!$E136,1,1)="(",TRUE,FALSE)</f>
        <v>0</v>
      </c>
    </row>
    <row r="137" spans="1:10" hidden="1" x14ac:dyDescent="0.25">
      <c r="A137">
        <f t="shared" ca="1" si="4"/>
        <v>1</v>
      </c>
      <c r="B137" s="2">
        <f>SUMPRODUCT(MAX(ROW($2:137)*($D$2:D137=(D137-1))))</f>
        <v>133</v>
      </c>
      <c r="C137" s="2"/>
      <c r="D137">
        <v>2</v>
      </c>
      <c r="E137" t="s">
        <v>5</v>
      </c>
      <c r="F137">
        <v>6</v>
      </c>
      <c r="G137" t="s">
        <v>2</v>
      </c>
      <c r="H137">
        <f t="shared" ca="1" si="5"/>
        <v>6</v>
      </c>
      <c r="J137" t="b">
        <f>IF(MID(ExplodedBOM!$E137,1,1)="(",TRUE,FALSE)</f>
        <v>0</v>
      </c>
    </row>
    <row r="138" spans="1:10" hidden="1" x14ac:dyDescent="0.25">
      <c r="A138">
        <f t="shared" ca="1" si="4"/>
        <v>1</v>
      </c>
      <c r="B138" s="2">
        <f>SUMPRODUCT(MAX(ROW($2:138)*($D$2:D138=(D138-1))))</f>
        <v>133</v>
      </c>
      <c r="C138" s="2"/>
      <c r="D138">
        <v>2</v>
      </c>
      <c r="E138" t="s">
        <v>269</v>
      </c>
      <c r="F138">
        <v>6</v>
      </c>
      <c r="G138" t="s">
        <v>2</v>
      </c>
      <c r="H138">
        <f t="shared" ca="1" si="5"/>
        <v>6</v>
      </c>
      <c r="J138" t="b">
        <f>IF(MID(ExplodedBOM!$E138,1,1)="(",TRUE,FALSE)</f>
        <v>0</v>
      </c>
    </row>
    <row r="139" spans="1:10" hidden="1" x14ac:dyDescent="0.25">
      <c r="A139">
        <f t="shared" ca="1" si="4"/>
        <v>1</v>
      </c>
      <c r="B139" s="2">
        <f>SUMPRODUCT(MAX(ROW($2:139)*($D$2:D139=(D139-1))))</f>
        <v>2</v>
      </c>
      <c r="C139" s="2"/>
      <c r="D139">
        <v>1</v>
      </c>
      <c r="E139" t="s">
        <v>79</v>
      </c>
      <c r="F139">
        <v>1</v>
      </c>
      <c r="G139" t="s">
        <v>2</v>
      </c>
      <c r="H139">
        <f t="shared" ca="1" si="5"/>
        <v>1</v>
      </c>
      <c r="J139" t="b">
        <f>IF(MID(ExplodedBOM!$E139,1,1)="(",TRUE,FALSE)</f>
        <v>1</v>
      </c>
    </row>
    <row r="140" spans="1:10" x14ac:dyDescent="0.25">
      <c r="A140">
        <f t="shared" ca="1" si="4"/>
        <v>1</v>
      </c>
      <c r="B140" s="2">
        <f>SUMPRODUCT(MAX(ROW($2:140)*($D$2:D140=(D140-1))))</f>
        <v>139</v>
      </c>
      <c r="C140" s="2"/>
      <c r="D140">
        <v>2</v>
      </c>
      <c r="E140" t="s">
        <v>277</v>
      </c>
      <c r="F140">
        <v>1</v>
      </c>
      <c r="G140" t="s">
        <v>2</v>
      </c>
      <c r="H140">
        <f ca="1">F140*A140</f>
        <v>1</v>
      </c>
      <c r="J140" s="5" t="b">
        <f>IF(MID(ExplodedBOM!$E140,1,1)="(",TRUE,FALSE)</f>
        <v>0</v>
      </c>
    </row>
    <row r="141" spans="1:10" hidden="1" x14ac:dyDescent="0.25">
      <c r="A141">
        <f t="shared" ca="1" si="4"/>
        <v>1</v>
      </c>
      <c r="B141" s="2">
        <f>SUMPRODUCT(MAX(ROW($2:141)*($D$2:D141=(D141-1))))</f>
        <v>139</v>
      </c>
      <c r="C141" s="2"/>
      <c r="D141">
        <v>2</v>
      </c>
      <c r="E141" t="s">
        <v>101</v>
      </c>
      <c r="F141">
        <v>1</v>
      </c>
      <c r="G141" t="s">
        <v>2</v>
      </c>
      <c r="H141">
        <f t="shared" ca="1" si="5"/>
        <v>1</v>
      </c>
      <c r="J141" t="b">
        <f>IF(MID(ExplodedBOM!$E141,1,1)="(",TRUE,FALSE)</f>
        <v>1</v>
      </c>
    </row>
    <row r="142" spans="1:10" hidden="1" x14ac:dyDescent="0.25">
      <c r="A142">
        <f t="shared" ca="1" si="4"/>
        <v>1</v>
      </c>
      <c r="B142" s="2">
        <f>SUMPRODUCT(MAX(ROW($2:142)*($D$2:D142=(D142-1))))</f>
        <v>141</v>
      </c>
      <c r="C142" s="2"/>
      <c r="D142">
        <v>3</v>
      </c>
      <c r="E142" t="s">
        <v>80</v>
      </c>
      <c r="F142">
        <v>2</v>
      </c>
      <c r="G142" t="s">
        <v>2</v>
      </c>
      <c r="H142">
        <f t="shared" ca="1" si="5"/>
        <v>2</v>
      </c>
      <c r="J142" t="b">
        <f>IF(MID(ExplodedBOM!$E142,1,1)="(",TRUE,FALSE)</f>
        <v>0</v>
      </c>
    </row>
    <row r="143" spans="1:10" hidden="1" x14ac:dyDescent="0.25">
      <c r="A143">
        <f t="shared" ca="1" si="4"/>
        <v>1</v>
      </c>
      <c r="B143" s="2">
        <f>SUMPRODUCT(MAX(ROW($2:143)*($D$2:D143=(D143-1))))</f>
        <v>141</v>
      </c>
      <c r="C143" s="2"/>
      <c r="D143">
        <v>3</v>
      </c>
      <c r="E143" t="s">
        <v>77</v>
      </c>
      <c r="F143">
        <v>2</v>
      </c>
      <c r="G143" t="s">
        <v>2</v>
      </c>
      <c r="H143">
        <f t="shared" ca="1" si="5"/>
        <v>2</v>
      </c>
      <c r="J143" t="b">
        <f>IF(MID(ExplodedBOM!$E143,1,1)="(",TRUE,FALSE)</f>
        <v>0</v>
      </c>
    </row>
    <row r="144" spans="1:10" hidden="1" x14ac:dyDescent="0.25">
      <c r="A144">
        <f t="shared" ca="1" si="4"/>
        <v>1</v>
      </c>
      <c r="B144" s="2">
        <f>SUMPRODUCT(MAX(ROW($2:144)*($D$2:D144=(D144-1))))</f>
        <v>141</v>
      </c>
      <c r="C144" s="2"/>
      <c r="D144">
        <v>3</v>
      </c>
      <c r="E144" t="s">
        <v>53</v>
      </c>
      <c r="F144">
        <v>2</v>
      </c>
      <c r="G144" t="s">
        <v>2</v>
      </c>
      <c r="H144">
        <f t="shared" ca="1" si="5"/>
        <v>2</v>
      </c>
      <c r="J144" t="b">
        <f>IF(MID(ExplodedBOM!$E144,1,1)="(",TRUE,FALSE)</f>
        <v>0</v>
      </c>
    </row>
    <row r="145" spans="1:10" hidden="1" x14ac:dyDescent="0.25">
      <c r="A145">
        <f t="shared" ca="1" si="4"/>
        <v>1</v>
      </c>
      <c r="B145" s="2">
        <f>SUMPRODUCT(MAX(ROW($2:145)*($D$2:D145=(D145-1))))</f>
        <v>139</v>
      </c>
      <c r="C145" s="2"/>
      <c r="D145">
        <v>2</v>
      </c>
      <c r="E145" t="s">
        <v>127</v>
      </c>
      <c r="F145">
        <v>1</v>
      </c>
      <c r="G145" t="s">
        <v>2</v>
      </c>
      <c r="H145">
        <f t="shared" ca="1" si="5"/>
        <v>1</v>
      </c>
      <c r="J145" t="b">
        <f>IF(MID(ExplodedBOM!$E145,1,1)="(",TRUE,FALSE)</f>
        <v>0</v>
      </c>
    </row>
    <row r="146" spans="1:10" hidden="1" x14ac:dyDescent="0.25">
      <c r="A146">
        <f t="shared" ca="1" si="4"/>
        <v>1</v>
      </c>
      <c r="B146" s="2">
        <f>SUMPRODUCT(MAX(ROW($2:146)*($D$2:D146=(D146-1))))</f>
        <v>139</v>
      </c>
      <c r="C146" s="2"/>
      <c r="D146">
        <v>2</v>
      </c>
      <c r="E146" t="s">
        <v>41</v>
      </c>
      <c r="F146">
        <v>4</v>
      </c>
      <c r="G146" t="s">
        <v>2</v>
      </c>
      <c r="H146">
        <f t="shared" ca="1" si="5"/>
        <v>4</v>
      </c>
      <c r="J146" t="b">
        <f>IF(MID(ExplodedBOM!$E146,1,1)="(",TRUE,FALSE)</f>
        <v>0</v>
      </c>
    </row>
    <row r="147" spans="1:10" hidden="1" x14ac:dyDescent="0.25">
      <c r="A147">
        <f t="shared" ca="1" si="4"/>
        <v>1</v>
      </c>
      <c r="B147" s="2">
        <f>SUMPRODUCT(MAX(ROW($2:147)*($D$2:D147=(D147-1))))</f>
        <v>139</v>
      </c>
      <c r="C147" s="2"/>
      <c r="D147">
        <v>2</v>
      </c>
      <c r="E147" t="s">
        <v>35</v>
      </c>
      <c r="F147">
        <v>4</v>
      </c>
      <c r="G147" t="s">
        <v>2</v>
      </c>
      <c r="H147">
        <f t="shared" ca="1" si="5"/>
        <v>4</v>
      </c>
      <c r="J147" t="b">
        <f>IF(MID(ExplodedBOM!$E147,1,1)="(",TRUE,FALSE)</f>
        <v>0</v>
      </c>
    </row>
    <row r="148" spans="1:10" hidden="1" x14ac:dyDescent="0.25">
      <c r="A148">
        <f t="shared" ca="1" si="4"/>
        <v>1</v>
      </c>
      <c r="B148" s="2">
        <f>SUMPRODUCT(MAX(ROW($2:148)*($D$2:D148=(D148-1))))</f>
        <v>139</v>
      </c>
      <c r="C148" s="2"/>
      <c r="D148">
        <v>2</v>
      </c>
      <c r="E148" t="s">
        <v>5</v>
      </c>
      <c r="F148">
        <v>4</v>
      </c>
      <c r="G148" t="s">
        <v>2</v>
      </c>
      <c r="H148">
        <f t="shared" ca="1" si="5"/>
        <v>4</v>
      </c>
      <c r="J148" t="b">
        <f>IF(MID(ExplodedBOM!$E148,1,1)="(",TRUE,FALSE)</f>
        <v>0</v>
      </c>
    </row>
    <row r="149" spans="1:10" hidden="1" x14ac:dyDescent="0.25">
      <c r="A149">
        <f t="shared" ca="1" si="4"/>
        <v>1</v>
      </c>
      <c r="B149" s="2">
        <f>SUMPRODUCT(MAX(ROW($2:149)*($D$2:D149=(D149-1))))</f>
        <v>139</v>
      </c>
      <c r="C149" s="2"/>
      <c r="D149">
        <v>2</v>
      </c>
      <c r="E149" t="s">
        <v>27</v>
      </c>
      <c r="F149">
        <v>6</v>
      </c>
      <c r="G149" t="s">
        <v>2</v>
      </c>
      <c r="H149">
        <f t="shared" ca="1" si="5"/>
        <v>6</v>
      </c>
      <c r="J149" t="b">
        <f>IF(MID(ExplodedBOM!$E149,1,1)="(",TRUE,FALSE)</f>
        <v>0</v>
      </c>
    </row>
    <row r="150" spans="1:10" hidden="1" x14ac:dyDescent="0.25">
      <c r="A150">
        <f t="shared" ca="1" si="4"/>
        <v>1</v>
      </c>
      <c r="B150" s="2">
        <f>SUMPRODUCT(MAX(ROW($2:150)*($D$2:D150=(D150-1))))</f>
        <v>139</v>
      </c>
      <c r="C150" s="2"/>
      <c r="D150">
        <v>2</v>
      </c>
      <c r="E150" t="s">
        <v>102</v>
      </c>
      <c r="F150">
        <v>1</v>
      </c>
      <c r="G150" t="s">
        <v>2</v>
      </c>
      <c r="H150">
        <f t="shared" ca="1" si="5"/>
        <v>1</v>
      </c>
      <c r="J150" t="b">
        <f>IF(MID(ExplodedBOM!$E150,1,1)="(",TRUE,FALSE)</f>
        <v>1</v>
      </c>
    </row>
    <row r="151" spans="1:10" hidden="1" x14ac:dyDescent="0.25">
      <c r="A151">
        <f t="shared" ca="1" si="4"/>
        <v>1</v>
      </c>
      <c r="B151" s="2">
        <f>SUMPRODUCT(MAX(ROW($2:151)*($D$2:D151=(D151-1))))</f>
        <v>150</v>
      </c>
      <c r="C151" s="2"/>
      <c r="D151">
        <v>3</v>
      </c>
      <c r="E151" t="s">
        <v>43</v>
      </c>
      <c r="F151">
        <v>1</v>
      </c>
      <c r="G151" t="s">
        <v>2</v>
      </c>
      <c r="H151">
        <f t="shared" ca="1" si="5"/>
        <v>1</v>
      </c>
      <c r="J151" t="b">
        <f>IF(MID(ExplodedBOM!$E151,1,1)="(",TRUE,FALSE)</f>
        <v>0</v>
      </c>
    </row>
    <row r="152" spans="1:10" hidden="1" x14ac:dyDescent="0.25">
      <c r="A152">
        <f t="shared" ca="1" si="4"/>
        <v>1</v>
      </c>
      <c r="B152" s="2">
        <f>SUMPRODUCT(MAX(ROW($2:152)*($D$2:D152=(D152-1))))</f>
        <v>150</v>
      </c>
      <c r="C152" s="2"/>
      <c r="D152">
        <v>3</v>
      </c>
      <c r="E152" t="s">
        <v>5</v>
      </c>
      <c r="F152">
        <v>1</v>
      </c>
      <c r="G152" t="s">
        <v>2</v>
      </c>
      <c r="H152">
        <f t="shared" ca="1" si="5"/>
        <v>1</v>
      </c>
      <c r="J152" t="b">
        <f>IF(MID(ExplodedBOM!$E152,1,1)="(",TRUE,FALSE)</f>
        <v>0</v>
      </c>
    </row>
    <row r="153" spans="1:10" hidden="1" x14ac:dyDescent="0.25">
      <c r="A153">
        <f t="shared" ca="1" si="4"/>
        <v>1</v>
      </c>
      <c r="B153" s="2">
        <f>SUMPRODUCT(MAX(ROW($2:153)*($D$2:D153=(D153-1))))</f>
        <v>150</v>
      </c>
      <c r="C153" s="2"/>
      <c r="D153">
        <v>3</v>
      </c>
      <c r="E153" t="s">
        <v>41</v>
      </c>
      <c r="F153">
        <v>1</v>
      </c>
      <c r="G153" t="s">
        <v>2</v>
      </c>
      <c r="H153">
        <f t="shared" ca="1" si="5"/>
        <v>1</v>
      </c>
      <c r="J153" t="b">
        <f>IF(MID(ExplodedBOM!$E153,1,1)="(",TRUE,FALSE)</f>
        <v>0</v>
      </c>
    </row>
    <row r="154" spans="1:10" x14ac:dyDescent="0.25">
      <c r="A154">
        <f t="shared" ca="1" si="4"/>
        <v>1</v>
      </c>
      <c r="B154" s="2">
        <f>SUMPRODUCT(MAX(ROW($2:154)*($D$2:D154=(D154-1))))</f>
        <v>150</v>
      </c>
      <c r="C154" s="2"/>
      <c r="D154">
        <v>3</v>
      </c>
      <c r="E154" t="s">
        <v>103</v>
      </c>
      <c r="F154">
        <v>1</v>
      </c>
      <c r="G154" t="s">
        <v>2</v>
      </c>
      <c r="H154">
        <f t="shared" ca="1" si="5"/>
        <v>1</v>
      </c>
      <c r="J154" t="b">
        <f>IF(MID(ExplodedBOM!$E154,1,1)="(",TRUE,FALSE)</f>
        <v>0</v>
      </c>
    </row>
    <row r="155" spans="1:10" hidden="1" x14ac:dyDescent="0.25">
      <c r="A155">
        <f t="shared" ca="1" si="4"/>
        <v>1</v>
      </c>
      <c r="B155" s="2">
        <f>SUMPRODUCT(MAX(ROW($2:155)*($D$2:D155=(D155-1))))</f>
        <v>150</v>
      </c>
      <c r="C155" s="2"/>
      <c r="D155">
        <v>3</v>
      </c>
      <c r="E155" t="s">
        <v>86</v>
      </c>
      <c r="F155">
        <v>1</v>
      </c>
      <c r="G155" t="s">
        <v>2</v>
      </c>
      <c r="H155">
        <f t="shared" ca="1" si="5"/>
        <v>1</v>
      </c>
      <c r="J155" t="b">
        <f>IF(MID(ExplodedBOM!$E155,1,1)="(",TRUE,FALSE)</f>
        <v>0</v>
      </c>
    </row>
    <row r="156" spans="1:10" hidden="1" x14ac:dyDescent="0.25">
      <c r="A156">
        <f t="shared" ca="1" si="4"/>
        <v>1</v>
      </c>
      <c r="B156" s="2">
        <f>SUMPRODUCT(MAX(ROW($2:156)*($D$2:D156=(D156-1))))</f>
        <v>150</v>
      </c>
      <c r="C156" s="2"/>
      <c r="D156">
        <v>3</v>
      </c>
      <c r="E156" t="s">
        <v>104</v>
      </c>
      <c r="F156">
        <v>2</v>
      </c>
      <c r="G156" t="s">
        <v>2</v>
      </c>
      <c r="H156">
        <f t="shared" ca="1" si="5"/>
        <v>2</v>
      </c>
      <c r="J156" t="b">
        <f>IF(MID(ExplodedBOM!$E156,1,1)="(",TRUE,FALSE)</f>
        <v>0</v>
      </c>
    </row>
    <row r="157" spans="1:10" hidden="1" x14ac:dyDescent="0.25">
      <c r="A157">
        <f t="shared" ca="1" si="4"/>
        <v>1</v>
      </c>
      <c r="B157" s="2">
        <f>SUMPRODUCT(MAX(ROW($2:157)*($D$2:D157=(D157-1))))</f>
        <v>150</v>
      </c>
      <c r="C157" s="2"/>
      <c r="D157">
        <v>3</v>
      </c>
      <c r="E157" t="s">
        <v>6</v>
      </c>
      <c r="F157">
        <v>2</v>
      </c>
      <c r="G157" t="s">
        <v>2</v>
      </c>
      <c r="H157">
        <f t="shared" ca="1" si="5"/>
        <v>2</v>
      </c>
      <c r="J157" t="b">
        <f>IF(MID(ExplodedBOM!$E157,1,1)="(",TRUE,FALSE)</f>
        <v>0</v>
      </c>
    </row>
    <row r="158" spans="1:10" hidden="1" x14ac:dyDescent="0.25">
      <c r="A158">
        <f t="shared" ca="1" si="4"/>
        <v>1</v>
      </c>
      <c r="B158" s="2">
        <f>SUMPRODUCT(MAX(ROW($2:158)*($D$2:D158=(D158-1))))</f>
        <v>150</v>
      </c>
      <c r="C158" s="2"/>
      <c r="D158">
        <v>3</v>
      </c>
      <c r="E158" t="s">
        <v>27</v>
      </c>
      <c r="F158">
        <v>2</v>
      </c>
      <c r="G158" t="s">
        <v>2</v>
      </c>
      <c r="H158">
        <f t="shared" ca="1" si="5"/>
        <v>2</v>
      </c>
      <c r="J158" t="b">
        <f>IF(MID(ExplodedBOM!$E158,1,1)="(",TRUE,FALSE)</f>
        <v>0</v>
      </c>
    </row>
    <row r="159" spans="1:10" hidden="1" x14ac:dyDescent="0.25">
      <c r="A159">
        <f t="shared" ca="1" si="4"/>
        <v>1</v>
      </c>
      <c r="B159" s="2">
        <f>SUMPRODUCT(MAX(ROW($2:159)*($D$2:D159=(D159-1))))</f>
        <v>150</v>
      </c>
      <c r="C159" s="2"/>
      <c r="D159">
        <v>3</v>
      </c>
      <c r="E159" t="s">
        <v>36</v>
      </c>
      <c r="F159">
        <v>1</v>
      </c>
      <c r="G159" t="s">
        <v>2</v>
      </c>
      <c r="H159">
        <f t="shared" ca="1" si="5"/>
        <v>1</v>
      </c>
      <c r="J159" t="b">
        <f>IF(MID(ExplodedBOM!$E159,1,1)="(",TRUE,FALSE)</f>
        <v>0</v>
      </c>
    </row>
    <row r="160" spans="1:10" hidden="1" x14ac:dyDescent="0.25">
      <c r="A160">
        <f t="shared" ca="1" si="4"/>
        <v>1</v>
      </c>
      <c r="B160" s="2">
        <f>SUMPRODUCT(MAX(ROW($2:160)*($D$2:D160=(D160-1))))</f>
        <v>2</v>
      </c>
      <c r="C160" s="2"/>
      <c r="D160">
        <v>1</v>
      </c>
      <c r="E160" t="s">
        <v>81</v>
      </c>
      <c r="F160">
        <v>1</v>
      </c>
      <c r="G160" t="s">
        <v>2</v>
      </c>
      <c r="H160">
        <f t="shared" ca="1" si="5"/>
        <v>1</v>
      </c>
      <c r="J160" t="b">
        <f>IF(MID(ExplodedBOM!$E160,1,1)="(",TRUE,FALSE)</f>
        <v>1</v>
      </c>
    </row>
    <row r="161" spans="1:10" hidden="1" x14ac:dyDescent="0.25">
      <c r="A161">
        <f t="shared" ca="1" si="4"/>
        <v>1</v>
      </c>
      <c r="B161" s="2">
        <f>SUMPRODUCT(MAX(ROW($2:161)*($D$2:D161=(D161-1))))</f>
        <v>160</v>
      </c>
      <c r="C161" s="2"/>
      <c r="D161">
        <v>2</v>
      </c>
      <c r="E161" t="s">
        <v>83</v>
      </c>
      <c r="F161">
        <v>1</v>
      </c>
      <c r="G161" t="s">
        <v>2</v>
      </c>
      <c r="H161">
        <f t="shared" ca="1" si="5"/>
        <v>1</v>
      </c>
      <c r="J161" t="b">
        <f>IF(MID(ExplodedBOM!$E161,1,1)="(",TRUE,FALSE)</f>
        <v>1</v>
      </c>
    </row>
    <row r="162" spans="1:10" hidden="1" x14ac:dyDescent="0.25">
      <c r="A162">
        <f t="shared" ca="1" si="4"/>
        <v>1</v>
      </c>
      <c r="B162" s="2">
        <f>SUMPRODUCT(MAX(ROW($2:162)*($D$2:D162=(D162-1))))</f>
        <v>161</v>
      </c>
      <c r="C162" s="2"/>
      <c r="D162">
        <v>3</v>
      </c>
      <c r="E162" t="s">
        <v>82</v>
      </c>
      <c r="F162">
        <v>1</v>
      </c>
      <c r="G162" t="s">
        <v>2</v>
      </c>
      <c r="H162">
        <f t="shared" ca="1" si="5"/>
        <v>1</v>
      </c>
      <c r="J162" t="b">
        <f>IF(MID(ExplodedBOM!$E162,1,1)="(",TRUE,FALSE)</f>
        <v>0</v>
      </c>
    </row>
    <row r="163" spans="1:10" hidden="1" x14ac:dyDescent="0.25">
      <c r="A163">
        <f t="shared" ca="1" si="4"/>
        <v>1</v>
      </c>
      <c r="B163" s="2">
        <f>SUMPRODUCT(MAX(ROW($2:163)*($D$2:D163=(D163-1))))</f>
        <v>161</v>
      </c>
      <c r="C163" s="2"/>
      <c r="D163">
        <v>3</v>
      </c>
      <c r="E163" t="s">
        <v>84</v>
      </c>
      <c r="F163">
        <v>1</v>
      </c>
      <c r="G163" t="s">
        <v>2</v>
      </c>
      <c r="H163">
        <f t="shared" ca="1" si="5"/>
        <v>1</v>
      </c>
      <c r="J163" t="b">
        <f>IF(MID(ExplodedBOM!$E163,1,1)="(",TRUE,FALSE)</f>
        <v>0</v>
      </c>
    </row>
    <row r="164" spans="1:10" x14ac:dyDescent="0.25">
      <c r="A164">
        <f t="shared" ca="1" si="4"/>
        <v>1</v>
      </c>
      <c r="B164" s="2">
        <f>SUMPRODUCT(MAX(ROW($2:164)*($D$2:D164=(D164-1))))</f>
        <v>160</v>
      </c>
      <c r="C164" s="2"/>
      <c r="D164">
        <v>2</v>
      </c>
      <c r="E164" t="s">
        <v>85</v>
      </c>
      <c r="F164">
        <v>1</v>
      </c>
      <c r="G164" t="s">
        <v>2</v>
      </c>
      <c r="H164">
        <f t="shared" ca="1" si="5"/>
        <v>1</v>
      </c>
      <c r="J164" t="b">
        <f>IF(MID(ExplodedBOM!$E164,1,1)="(",TRUE,FALSE)</f>
        <v>0</v>
      </c>
    </row>
    <row r="165" spans="1:10" hidden="1" x14ac:dyDescent="0.25">
      <c r="A165">
        <f t="shared" ca="1" si="4"/>
        <v>1</v>
      </c>
      <c r="B165" s="2">
        <f>SUMPRODUCT(MAX(ROW($2:165)*($D$2:D165=(D165-1))))</f>
        <v>160</v>
      </c>
      <c r="C165" s="2"/>
      <c r="D165">
        <v>2</v>
      </c>
      <c r="E165" t="s">
        <v>15</v>
      </c>
      <c r="F165">
        <v>5</v>
      </c>
      <c r="G165" t="s">
        <v>2</v>
      </c>
      <c r="H165">
        <f t="shared" ca="1" si="5"/>
        <v>5</v>
      </c>
      <c r="J165" t="b">
        <f>IF(MID(ExplodedBOM!$E165,1,1)="(",TRUE,FALSE)</f>
        <v>0</v>
      </c>
    </row>
    <row r="166" spans="1:10" hidden="1" x14ac:dyDescent="0.25">
      <c r="A166">
        <f t="shared" ca="1" si="4"/>
        <v>1</v>
      </c>
      <c r="B166" s="2">
        <f>SUMPRODUCT(MAX(ROW($2:166)*($D$2:D166=(D166-1))))</f>
        <v>160</v>
      </c>
      <c r="C166" s="2"/>
      <c r="D166">
        <v>2</v>
      </c>
      <c r="E166" t="s">
        <v>27</v>
      </c>
      <c r="F166">
        <v>2</v>
      </c>
      <c r="G166" t="s">
        <v>2</v>
      </c>
      <c r="H166">
        <f t="shared" ca="1" si="5"/>
        <v>2</v>
      </c>
      <c r="J166" t="b">
        <f>IF(MID(ExplodedBOM!$E166,1,1)="(",TRUE,FALSE)</f>
        <v>0</v>
      </c>
    </row>
    <row r="167" spans="1:10" hidden="1" x14ac:dyDescent="0.25">
      <c r="A167">
        <f t="shared" ca="1" si="4"/>
        <v>1</v>
      </c>
      <c r="B167" s="2">
        <f>SUMPRODUCT(MAX(ROW($2:167)*($D$2:D167=(D167-1))))</f>
        <v>160</v>
      </c>
      <c r="C167" s="2"/>
      <c r="D167">
        <v>2</v>
      </c>
      <c r="E167" t="s">
        <v>6</v>
      </c>
      <c r="F167">
        <v>2</v>
      </c>
      <c r="G167" t="s">
        <v>2</v>
      </c>
      <c r="H167">
        <f t="shared" ca="1" si="5"/>
        <v>2</v>
      </c>
      <c r="J167" t="b">
        <f>IF(MID(ExplodedBOM!$E167,1,1)="(",TRUE,FALSE)</f>
        <v>0</v>
      </c>
    </row>
    <row r="168" spans="1:10" hidden="1" x14ac:dyDescent="0.25">
      <c r="A168">
        <f t="shared" ca="1" si="4"/>
        <v>1</v>
      </c>
      <c r="B168" s="2">
        <f>SUMPRODUCT(MAX(ROW($2:168)*($D$2:D168=(D168-1))))</f>
        <v>160</v>
      </c>
      <c r="C168" s="2"/>
      <c r="D168">
        <v>2</v>
      </c>
      <c r="E168" t="s">
        <v>86</v>
      </c>
      <c r="F168">
        <v>1</v>
      </c>
      <c r="G168" t="s">
        <v>2</v>
      </c>
      <c r="H168">
        <f t="shared" ca="1" si="5"/>
        <v>1</v>
      </c>
      <c r="J168" t="b">
        <f>IF(MID(ExplodedBOM!$E168,1,1)="(",TRUE,FALSE)</f>
        <v>0</v>
      </c>
    </row>
    <row r="169" spans="1:10" x14ac:dyDescent="0.25">
      <c r="A169">
        <f t="shared" ca="1" si="4"/>
        <v>1</v>
      </c>
      <c r="B169" s="2">
        <f>SUMPRODUCT(MAX(ROW($2:169)*($D$2:D169=(D169-1))))</f>
        <v>160</v>
      </c>
      <c r="C169" s="2"/>
      <c r="D169">
        <v>2</v>
      </c>
      <c r="E169" t="s">
        <v>273</v>
      </c>
      <c r="F169">
        <v>1</v>
      </c>
      <c r="G169" t="s">
        <v>2</v>
      </c>
      <c r="H169">
        <f t="shared" ca="1" si="5"/>
        <v>1</v>
      </c>
      <c r="J169" t="b">
        <f>IF(MID(ExplodedBOM!$E169,1,1)="(",TRUE,FALSE)</f>
        <v>0</v>
      </c>
    </row>
    <row r="170" spans="1:10" hidden="1" x14ac:dyDescent="0.25">
      <c r="A170">
        <f t="shared" ca="1" si="4"/>
        <v>1</v>
      </c>
      <c r="B170" s="2">
        <f>SUMPRODUCT(MAX(ROW($2:170)*($D$2:D170=(D170-1))))</f>
        <v>160</v>
      </c>
      <c r="C170" s="2"/>
      <c r="D170">
        <v>2</v>
      </c>
      <c r="E170" t="s">
        <v>219</v>
      </c>
      <c r="F170">
        <v>1</v>
      </c>
      <c r="G170" t="s">
        <v>2</v>
      </c>
      <c r="H170">
        <f ca="1">F170*A170</f>
        <v>1</v>
      </c>
      <c r="J170" t="b">
        <f>IF(MID(ExplodedBOM!$E170,1,1)="(",TRUE,FALSE)</f>
        <v>0</v>
      </c>
    </row>
    <row r="171" spans="1:10" hidden="1" x14ac:dyDescent="0.25">
      <c r="A171">
        <f t="shared" ca="1" si="4"/>
        <v>1</v>
      </c>
      <c r="B171" s="2">
        <f>SUMPRODUCT(MAX(ROW($2:171)*($D$2:D171=(D171-1))))</f>
        <v>160</v>
      </c>
      <c r="C171" s="2"/>
      <c r="D171">
        <v>2</v>
      </c>
      <c r="E171" t="s">
        <v>220</v>
      </c>
      <c r="F171">
        <v>1</v>
      </c>
      <c r="G171" t="s">
        <v>2</v>
      </c>
      <c r="H171">
        <f ca="1">F171*A171</f>
        <v>1</v>
      </c>
      <c r="J171" t="b">
        <f>IF(MID(ExplodedBOM!$E171,1,1)="(",TRUE,FALSE)</f>
        <v>0</v>
      </c>
    </row>
    <row r="172" spans="1:10" hidden="1" x14ac:dyDescent="0.25">
      <c r="A172">
        <f t="shared" ca="1" si="4"/>
        <v>1</v>
      </c>
      <c r="B172" s="2">
        <f>SUMPRODUCT(MAX(ROW($2:172)*($D$2:D172=(D172-1))))</f>
        <v>2</v>
      </c>
      <c r="C172" s="2"/>
      <c r="D172">
        <v>1</v>
      </c>
      <c r="E172" t="s">
        <v>87</v>
      </c>
      <c r="F172">
        <v>4</v>
      </c>
      <c r="G172" t="s">
        <v>2</v>
      </c>
      <c r="H172">
        <f t="shared" ca="1" si="5"/>
        <v>4</v>
      </c>
      <c r="J172" t="b">
        <f>IF(MID(ExplodedBOM!$E172,1,1)="(",TRUE,FALSE)</f>
        <v>1</v>
      </c>
    </row>
    <row r="173" spans="1:10" x14ac:dyDescent="0.25">
      <c r="A173">
        <f t="shared" ca="1" si="4"/>
        <v>4</v>
      </c>
      <c r="B173" s="2">
        <f>SUMPRODUCT(MAX(ROW($2:173)*($D$2:D173=(D173-1))))</f>
        <v>172</v>
      </c>
      <c r="C173" s="2"/>
      <c r="D173">
        <v>2</v>
      </c>
      <c r="E173" t="s">
        <v>88</v>
      </c>
      <c r="F173">
        <v>1</v>
      </c>
      <c r="G173" t="s">
        <v>2</v>
      </c>
      <c r="H173">
        <f t="shared" ca="1" si="5"/>
        <v>4</v>
      </c>
      <c r="J173" t="b">
        <f>IF(MID(ExplodedBOM!$E173,1,1)="(",TRUE,FALSE)</f>
        <v>0</v>
      </c>
    </row>
    <row r="174" spans="1:10" x14ac:dyDescent="0.25">
      <c r="A174">
        <f t="shared" ca="1" si="4"/>
        <v>4</v>
      </c>
      <c r="B174" s="2">
        <f>SUMPRODUCT(MAX(ROW($2:174)*($D$2:D174=(D174-1))))</f>
        <v>172</v>
      </c>
      <c r="C174" s="2"/>
      <c r="D174">
        <v>2</v>
      </c>
      <c r="E174" t="s">
        <v>89</v>
      </c>
      <c r="F174">
        <v>1</v>
      </c>
      <c r="G174" t="s">
        <v>2</v>
      </c>
      <c r="H174">
        <f t="shared" ca="1" si="5"/>
        <v>4</v>
      </c>
      <c r="J174" t="b">
        <f>IF(MID(ExplodedBOM!$E174,1,1)="(",TRUE,FALSE)</f>
        <v>0</v>
      </c>
    </row>
    <row r="175" spans="1:10" hidden="1" x14ac:dyDescent="0.25">
      <c r="A175">
        <f t="shared" ca="1" si="4"/>
        <v>4</v>
      </c>
      <c r="B175" s="2">
        <f>SUMPRODUCT(MAX(ROW($2:175)*($D$2:D175=(D175-1))))</f>
        <v>172</v>
      </c>
      <c r="C175" s="2"/>
      <c r="D175">
        <v>2</v>
      </c>
      <c r="E175" t="s">
        <v>39</v>
      </c>
      <c r="F175">
        <v>1</v>
      </c>
      <c r="G175" t="s">
        <v>2</v>
      </c>
      <c r="H175">
        <f t="shared" ca="1" si="5"/>
        <v>4</v>
      </c>
      <c r="J175" t="b">
        <f>IF(MID(ExplodedBOM!$E175,1,1)="(",TRUE,FALSE)</f>
        <v>0</v>
      </c>
    </row>
    <row r="176" spans="1:10" hidden="1" x14ac:dyDescent="0.25">
      <c r="A176">
        <f t="shared" ca="1" si="4"/>
        <v>4</v>
      </c>
      <c r="B176" s="2">
        <f>SUMPRODUCT(MAX(ROW($2:176)*($D$2:D176=(D176-1))))</f>
        <v>172</v>
      </c>
      <c r="C176" s="2"/>
      <c r="D176">
        <v>2</v>
      </c>
      <c r="E176" t="s">
        <v>90</v>
      </c>
      <c r="F176">
        <v>2</v>
      </c>
      <c r="G176" t="s">
        <v>2</v>
      </c>
      <c r="H176">
        <f t="shared" ca="1" si="5"/>
        <v>8</v>
      </c>
      <c r="J176" t="b">
        <f>IF(MID(ExplodedBOM!$E176,1,1)="(",TRUE,FALSE)</f>
        <v>0</v>
      </c>
    </row>
    <row r="177" spans="1:10" hidden="1" x14ac:dyDescent="0.25">
      <c r="A177">
        <f t="shared" ca="1" si="4"/>
        <v>4</v>
      </c>
      <c r="B177" s="2">
        <f>SUMPRODUCT(MAX(ROW($2:177)*($D$2:D177=(D177-1))))</f>
        <v>172</v>
      </c>
      <c r="C177" s="2"/>
      <c r="D177">
        <v>2</v>
      </c>
      <c r="E177" t="s">
        <v>30</v>
      </c>
      <c r="F177">
        <v>2</v>
      </c>
      <c r="G177" t="s">
        <v>2</v>
      </c>
      <c r="H177">
        <f t="shared" ca="1" si="5"/>
        <v>8</v>
      </c>
      <c r="J177" t="b">
        <f>IF(MID(ExplodedBOM!$E177,1,1)="(",TRUE,FALSE)</f>
        <v>0</v>
      </c>
    </row>
    <row r="178" spans="1:10" hidden="1" x14ac:dyDescent="0.25">
      <c r="A178">
        <f t="shared" ca="1" si="4"/>
        <v>4</v>
      </c>
      <c r="B178" s="2">
        <f>SUMPRODUCT(MAX(ROW($2:178)*($D$2:D178=(D178-1))))</f>
        <v>172</v>
      </c>
      <c r="C178" s="2"/>
      <c r="D178">
        <v>2</v>
      </c>
      <c r="E178" t="s">
        <v>146</v>
      </c>
      <c r="F178">
        <v>2</v>
      </c>
      <c r="G178" t="s">
        <v>2</v>
      </c>
      <c r="H178">
        <f t="shared" ca="1" si="5"/>
        <v>8</v>
      </c>
      <c r="J178" t="b">
        <f>IF(MID(ExplodedBOM!$E178,1,1)="(",TRUE,FALSE)</f>
        <v>0</v>
      </c>
    </row>
    <row r="179" spans="1:10" hidden="1" x14ac:dyDescent="0.25">
      <c r="A179">
        <f t="shared" ca="1" si="4"/>
        <v>1</v>
      </c>
      <c r="B179" s="2">
        <f>SUMPRODUCT(MAX(ROW($2:179)*($D$2:D179=(D179-1))))</f>
        <v>2</v>
      </c>
      <c r="C179" s="2"/>
      <c r="D179">
        <v>1</v>
      </c>
      <c r="E179" t="s">
        <v>97</v>
      </c>
      <c r="F179">
        <v>1</v>
      </c>
      <c r="G179" t="s">
        <v>2</v>
      </c>
      <c r="H179">
        <f t="shared" ca="1" si="5"/>
        <v>1</v>
      </c>
      <c r="I179" t="s">
        <v>96</v>
      </c>
      <c r="J179" t="b">
        <f>IF(MID(ExplodedBOM!$E179,1,1)="(",TRUE,FALSE)</f>
        <v>1</v>
      </c>
    </row>
    <row r="180" spans="1:10" hidden="1" x14ac:dyDescent="0.25">
      <c r="A180">
        <f t="shared" ca="1" si="4"/>
        <v>1</v>
      </c>
      <c r="B180" s="2">
        <f>SUMPRODUCT(MAX(ROW($2:180)*($D$2:D180=(D180-1))))</f>
        <v>179</v>
      </c>
      <c r="C180" s="2"/>
      <c r="D180">
        <v>2</v>
      </c>
      <c r="E180" t="s">
        <v>92</v>
      </c>
      <c r="F180">
        <v>2</v>
      </c>
      <c r="G180" t="s">
        <v>2</v>
      </c>
      <c r="H180">
        <f t="shared" ca="1" si="5"/>
        <v>2</v>
      </c>
      <c r="J180" t="b">
        <f>IF(MID(ExplodedBOM!$E180,1,1)="(",TRUE,FALSE)</f>
        <v>0</v>
      </c>
    </row>
    <row r="181" spans="1:10" hidden="1" x14ac:dyDescent="0.25">
      <c r="A181">
        <f t="shared" ca="1" si="4"/>
        <v>1</v>
      </c>
      <c r="B181" s="2">
        <f>SUMPRODUCT(MAX(ROW($2:181)*($D$2:D181=(D181-1))))</f>
        <v>179</v>
      </c>
      <c r="C181" s="2"/>
      <c r="D181">
        <v>2</v>
      </c>
      <c r="E181" t="s">
        <v>93</v>
      </c>
      <c r="F181">
        <v>1</v>
      </c>
      <c r="G181" t="s">
        <v>2</v>
      </c>
      <c r="H181">
        <f t="shared" ca="1" si="5"/>
        <v>1</v>
      </c>
      <c r="J181" t="b">
        <f>IF(MID(ExplodedBOM!$E181,1,1)="(",TRUE,FALSE)</f>
        <v>0</v>
      </c>
    </row>
    <row r="182" spans="1:10" hidden="1" x14ac:dyDescent="0.25">
      <c r="A182">
        <f t="shared" ca="1" si="4"/>
        <v>1</v>
      </c>
      <c r="B182" s="2">
        <f>SUMPRODUCT(MAX(ROW($2:182)*($D$2:D182=(D182-1))))</f>
        <v>179</v>
      </c>
      <c r="C182" s="2"/>
      <c r="D182">
        <v>2</v>
      </c>
      <c r="E182" t="s">
        <v>94</v>
      </c>
      <c r="F182">
        <v>1</v>
      </c>
      <c r="G182" t="s">
        <v>2</v>
      </c>
      <c r="H182">
        <f t="shared" ca="1" si="5"/>
        <v>1</v>
      </c>
      <c r="J182" t="b">
        <f>IF(MID(ExplodedBOM!$E182,1,1)="(",TRUE,FALSE)</f>
        <v>0</v>
      </c>
    </row>
    <row r="183" spans="1:10" hidden="1" x14ac:dyDescent="0.25">
      <c r="A183">
        <f t="shared" ca="1" si="4"/>
        <v>1</v>
      </c>
      <c r="B183" s="2">
        <f>SUMPRODUCT(MAX(ROW($2:183)*($D$2:D183=(D183-1))))</f>
        <v>179</v>
      </c>
      <c r="C183" s="2"/>
      <c r="D183">
        <v>2</v>
      </c>
      <c r="E183" t="s">
        <v>95</v>
      </c>
      <c r="F183">
        <v>1</v>
      </c>
      <c r="G183" t="s">
        <v>2</v>
      </c>
      <c r="H183">
        <f t="shared" ca="1" si="5"/>
        <v>1</v>
      </c>
      <c r="J183" t="b">
        <f>IF(MID(ExplodedBOM!$E183,1,1)="(",TRUE,FALSE)</f>
        <v>0</v>
      </c>
    </row>
    <row r="184" spans="1:10" hidden="1" x14ac:dyDescent="0.25">
      <c r="A184">
        <f t="shared" ca="1" si="4"/>
        <v>1</v>
      </c>
      <c r="B184" s="2">
        <f>SUMPRODUCT(MAX(ROW($2:184)*($D$2:D184=(D184-1))))</f>
        <v>179</v>
      </c>
      <c r="C184" s="2"/>
      <c r="D184">
        <v>2</v>
      </c>
      <c r="E184" t="s">
        <v>98</v>
      </c>
      <c r="F184">
        <v>1</v>
      </c>
      <c r="G184" t="s">
        <v>2</v>
      </c>
      <c r="H184">
        <f t="shared" ca="1" si="5"/>
        <v>1</v>
      </c>
      <c r="I184" t="s">
        <v>99</v>
      </c>
      <c r="J184" t="b">
        <f>IF(MID(ExplodedBOM!$E184,1,1)="(",TRUE,FALSE)</f>
        <v>0</v>
      </c>
    </row>
    <row r="185" spans="1:10" hidden="1" x14ac:dyDescent="0.25">
      <c r="A185">
        <f t="shared" ca="1" si="4"/>
        <v>1</v>
      </c>
      <c r="B185" s="2">
        <f>SUMPRODUCT(MAX(ROW($2:185)*($D$2:D185=(D185-1))))</f>
        <v>179</v>
      </c>
      <c r="D185">
        <v>2</v>
      </c>
      <c r="E185" t="s">
        <v>269</v>
      </c>
      <c r="F185">
        <v>14</v>
      </c>
      <c r="G185" t="s">
        <v>2</v>
      </c>
      <c r="H185">
        <f t="shared" ref="H185:H191" ca="1" si="6">F185*A185</f>
        <v>14</v>
      </c>
      <c r="J185" t="b">
        <f>IF(MID(ExplodedBOM!$E185,1,1)="(",TRUE,FALSE)</f>
        <v>0</v>
      </c>
    </row>
    <row r="186" spans="1:10" hidden="1" x14ac:dyDescent="0.25">
      <c r="A186">
        <f t="shared" ca="1" si="4"/>
        <v>1</v>
      </c>
      <c r="B186" s="2">
        <f>SUMPRODUCT(MAX(ROW($2:186)*($D$2:D186=(D186-1))))</f>
        <v>179</v>
      </c>
      <c r="D186">
        <v>2</v>
      </c>
      <c r="E186" t="s">
        <v>146</v>
      </c>
      <c r="F186">
        <v>14</v>
      </c>
      <c r="G186" t="s">
        <v>2</v>
      </c>
      <c r="H186">
        <f t="shared" ca="1" si="6"/>
        <v>14</v>
      </c>
      <c r="J186" t="b">
        <f>IF(MID(ExplodedBOM!$E186,1,1)="(",TRUE,FALSE)</f>
        <v>0</v>
      </c>
    </row>
    <row r="187" spans="1:10" hidden="1" x14ac:dyDescent="0.25">
      <c r="A187">
        <f t="shared" ca="1" si="4"/>
        <v>1</v>
      </c>
      <c r="B187" s="2">
        <f>SUMPRODUCT(MAX(ROW($2:187)*($D$2:D187=(D187-1))))</f>
        <v>179</v>
      </c>
      <c r="D187">
        <v>2</v>
      </c>
      <c r="E187" t="s">
        <v>5</v>
      </c>
      <c r="F187">
        <v>14</v>
      </c>
      <c r="G187" t="s">
        <v>2</v>
      </c>
      <c r="H187">
        <f t="shared" ca="1" si="6"/>
        <v>14</v>
      </c>
      <c r="J187" t="b">
        <f>IF(MID(ExplodedBOM!$E187,1,1)="(",TRUE,FALSE)</f>
        <v>0</v>
      </c>
    </row>
    <row r="188" spans="1:10" hidden="1" x14ac:dyDescent="0.25">
      <c r="A188">
        <f t="shared" ca="1" si="4"/>
        <v>1</v>
      </c>
      <c r="B188" s="2">
        <f>SUMPRODUCT(MAX(ROW($2:188)*($D$2:D188=(D188-1))))</f>
        <v>2</v>
      </c>
      <c r="D188">
        <v>1</v>
      </c>
      <c r="E188" t="s">
        <v>147</v>
      </c>
      <c r="F188">
        <v>1</v>
      </c>
      <c r="G188" t="s">
        <v>2</v>
      </c>
      <c r="H188">
        <f t="shared" ca="1" si="6"/>
        <v>1</v>
      </c>
      <c r="J188" t="b">
        <f>IF(MID(ExplodedBOM!$E188,1,1)="(",TRUE,FALSE)</f>
        <v>1</v>
      </c>
    </row>
    <row r="189" spans="1:10" hidden="1" x14ac:dyDescent="0.25">
      <c r="A189">
        <f t="shared" ca="1" si="4"/>
        <v>1</v>
      </c>
      <c r="B189" s="2">
        <f>SUMPRODUCT(MAX(ROW($2:189)*($D$2:D189=(D189-1))))</f>
        <v>188</v>
      </c>
      <c r="D189">
        <v>2</v>
      </c>
      <c r="E189" t="s">
        <v>148</v>
      </c>
      <c r="F189">
        <v>2</v>
      </c>
      <c r="G189" t="s">
        <v>2</v>
      </c>
      <c r="H189">
        <f t="shared" ca="1" si="6"/>
        <v>2</v>
      </c>
      <c r="J189" t="b">
        <f>IF(MID(ExplodedBOM!$E189,1,1)="(",TRUE,FALSE)</f>
        <v>0</v>
      </c>
    </row>
    <row r="190" spans="1:10" hidden="1" x14ac:dyDescent="0.25">
      <c r="A190">
        <f t="shared" ca="1" si="4"/>
        <v>1</v>
      </c>
      <c r="B190" s="2">
        <f>SUMPRODUCT(MAX(ROW($2:190)*($D$2:D190=(D190-1))))</f>
        <v>188</v>
      </c>
      <c r="D190">
        <v>2</v>
      </c>
      <c r="E190" t="s">
        <v>171</v>
      </c>
      <c r="F190">
        <v>16</v>
      </c>
      <c r="G190" t="s">
        <v>2</v>
      </c>
      <c r="H190">
        <f t="shared" ca="1" si="6"/>
        <v>16</v>
      </c>
      <c r="J190" t="b">
        <f>IF(MID(ExplodedBOM!$E190,1,1)="(",TRUE,FALSE)</f>
        <v>0</v>
      </c>
    </row>
    <row r="191" spans="1:10" hidden="1" x14ac:dyDescent="0.25">
      <c r="A191">
        <f t="shared" ca="1" si="4"/>
        <v>1</v>
      </c>
      <c r="B191" s="2">
        <f>SUMPRODUCT(MAX(ROW($2:191)*($D$2:D191=(D191-1))))</f>
        <v>188</v>
      </c>
      <c r="D191">
        <v>2</v>
      </c>
      <c r="E191" t="s">
        <v>239</v>
      </c>
      <c r="F191">
        <v>1</v>
      </c>
      <c r="G191" t="s">
        <v>2</v>
      </c>
      <c r="H191">
        <f t="shared" ca="1" si="6"/>
        <v>1</v>
      </c>
      <c r="J191" t="b">
        <f>IF(MID(ExplodedBOM!$E191,1,1)="(",TRUE,FALSE)</f>
        <v>0</v>
      </c>
    </row>
    <row r="192" spans="1:10" hidden="1" x14ac:dyDescent="0.25">
      <c r="A192">
        <f t="shared" ca="1" si="4"/>
        <v>1</v>
      </c>
      <c r="B192" s="2">
        <f>SUMPRODUCT(MAX(ROW($2:192)*($D$2:D192=(D192-1))))</f>
        <v>188</v>
      </c>
      <c r="D192">
        <v>2</v>
      </c>
      <c r="E192" t="s">
        <v>266</v>
      </c>
      <c r="F192">
        <v>3</v>
      </c>
      <c r="G192" t="s">
        <v>2</v>
      </c>
      <c r="H192">
        <f t="shared" ref="H192:H200" ca="1" si="7">F192*A192</f>
        <v>3</v>
      </c>
      <c r="J192" t="b">
        <f>IF(MID(ExplodedBOM!$E192,1,1)="(",TRUE,FALSE)</f>
        <v>1</v>
      </c>
    </row>
    <row r="193" spans="1:10" x14ac:dyDescent="0.25">
      <c r="A193">
        <f t="shared" ca="1" si="4"/>
        <v>3</v>
      </c>
      <c r="B193" s="2">
        <f>SUMPRODUCT(MAX(ROW($2:193)*($D$2:D193=(D193-1))))</f>
        <v>192</v>
      </c>
      <c r="D193">
        <v>3</v>
      </c>
      <c r="E193" t="s">
        <v>267</v>
      </c>
      <c r="F193">
        <v>1</v>
      </c>
      <c r="G193" t="s">
        <v>2</v>
      </c>
      <c r="H193">
        <f t="shared" ca="1" si="7"/>
        <v>3</v>
      </c>
      <c r="J193" t="b">
        <f>IF(MID(ExplodedBOM!$E193,1,1)="(",TRUE,FALSE)</f>
        <v>0</v>
      </c>
    </row>
    <row r="194" spans="1:10" hidden="1" x14ac:dyDescent="0.25">
      <c r="A194">
        <f t="shared" ca="1" si="4"/>
        <v>3</v>
      </c>
      <c r="B194" s="2">
        <f>SUMPRODUCT(MAX(ROW($2:194)*($D$2:D194=(D194-1))))</f>
        <v>192</v>
      </c>
      <c r="D194">
        <v>3</v>
      </c>
      <c r="E194" t="s">
        <v>244</v>
      </c>
      <c r="F194">
        <v>6</v>
      </c>
      <c r="G194" t="s">
        <v>2</v>
      </c>
      <c r="H194">
        <f t="shared" ca="1" si="7"/>
        <v>18</v>
      </c>
      <c r="J194" t="b">
        <f>IF(MID(ExplodedBOM!$E194,1,1)="(",TRUE,FALSE)</f>
        <v>0</v>
      </c>
    </row>
    <row r="195" spans="1:10" hidden="1" x14ac:dyDescent="0.25">
      <c r="A195">
        <f t="shared" ca="1" si="4"/>
        <v>3</v>
      </c>
      <c r="B195" s="2">
        <f>SUMPRODUCT(MAX(ROW($2:195)*($D$2:D195=(D195-1))))</f>
        <v>192</v>
      </c>
      <c r="D195">
        <v>3</v>
      </c>
      <c r="E195" t="s">
        <v>5</v>
      </c>
      <c r="F195">
        <v>10</v>
      </c>
      <c r="G195" t="s">
        <v>2</v>
      </c>
      <c r="H195">
        <f t="shared" ca="1" si="7"/>
        <v>30</v>
      </c>
      <c r="J195" t="b">
        <f>IF(MID(ExplodedBOM!$E195,1,1)="(",TRUE,FALSE)</f>
        <v>0</v>
      </c>
    </row>
    <row r="196" spans="1:10" hidden="1" x14ac:dyDescent="0.25">
      <c r="A196">
        <f t="shared" ca="1" si="4"/>
        <v>3</v>
      </c>
      <c r="B196" s="2">
        <f>SUMPRODUCT(MAX(ROW($2:196)*($D$2:D196=(D196-1))))</f>
        <v>192</v>
      </c>
      <c r="D196">
        <v>3</v>
      </c>
      <c r="E196" t="s">
        <v>41</v>
      </c>
      <c r="F196">
        <v>4</v>
      </c>
      <c r="G196" t="s">
        <v>2</v>
      </c>
      <c r="H196">
        <f t="shared" ca="1" si="7"/>
        <v>12</v>
      </c>
      <c r="J196" t="b">
        <f>IF(MID(ExplodedBOM!$E196,1,1)="(",TRUE,FALSE)</f>
        <v>0</v>
      </c>
    </row>
    <row r="197" spans="1:10" hidden="1" x14ac:dyDescent="0.25">
      <c r="A197">
        <f t="shared" ca="1" si="4"/>
        <v>3</v>
      </c>
      <c r="B197" s="2">
        <f>SUMPRODUCT(MAX(ROW($2:197)*($D$2:D197=(D197-1))))</f>
        <v>192</v>
      </c>
      <c r="D197">
        <v>3</v>
      </c>
      <c r="E197" t="s">
        <v>268</v>
      </c>
      <c r="F197">
        <v>4</v>
      </c>
      <c r="G197" t="s">
        <v>2</v>
      </c>
      <c r="H197">
        <f t="shared" ca="1" si="7"/>
        <v>12</v>
      </c>
      <c r="J197" t="b">
        <f>IF(MID(ExplodedBOM!$E197,1,1)="(",TRUE,FALSE)</f>
        <v>0</v>
      </c>
    </row>
    <row r="198" spans="1:10" hidden="1" x14ac:dyDescent="0.25">
      <c r="A198">
        <f t="shared" ref="A198:A200" ca="1" si="8">IF(MID(E197,1,1)="(",F197*A197,
      IF(D198&lt;D197,INDIRECT("A" &amp; B198+1),A197)
)</f>
        <v>3</v>
      </c>
      <c r="B198" s="2">
        <f>SUMPRODUCT(MAX(ROW($2:198)*($D$2:D198=(D198-1))))</f>
        <v>192</v>
      </c>
      <c r="D198">
        <v>3</v>
      </c>
      <c r="E198" t="s">
        <v>269</v>
      </c>
      <c r="F198">
        <v>4</v>
      </c>
      <c r="G198" t="s">
        <v>2</v>
      </c>
      <c r="H198">
        <f t="shared" ca="1" si="7"/>
        <v>12</v>
      </c>
      <c r="J198" t="b">
        <f>IF(MID(ExplodedBOM!$E198,1,1)="(",TRUE,FALSE)</f>
        <v>0</v>
      </c>
    </row>
    <row r="199" spans="1:10" hidden="1" x14ac:dyDescent="0.25">
      <c r="A199">
        <f t="shared" ca="1" si="8"/>
        <v>3</v>
      </c>
      <c r="B199" s="2">
        <f>SUMPRODUCT(MAX(ROW($2:199)*($D$2:D199=(D199-1))))</f>
        <v>192</v>
      </c>
      <c r="D199">
        <v>3</v>
      </c>
      <c r="E199" t="s">
        <v>270</v>
      </c>
      <c r="F199">
        <v>2</v>
      </c>
      <c r="G199" t="s">
        <v>2</v>
      </c>
      <c r="H199">
        <f t="shared" ca="1" si="7"/>
        <v>6</v>
      </c>
      <c r="J199" t="b">
        <f>IF(MID(ExplodedBOM!$E199,1,1)="(",TRUE,FALSE)</f>
        <v>0</v>
      </c>
    </row>
    <row r="200" spans="1:10" hidden="1" x14ac:dyDescent="0.25">
      <c r="A200">
        <f t="shared" ca="1" si="8"/>
        <v>3</v>
      </c>
      <c r="B200" s="2">
        <f>SUMPRODUCT(MAX(ROW($2:200)*($D$2:D200=(D200-1))))</f>
        <v>192</v>
      </c>
      <c r="D200">
        <v>3</v>
      </c>
      <c r="E200" t="s">
        <v>271</v>
      </c>
      <c r="F200">
        <v>4</v>
      </c>
      <c r="G200" t="s">
        <v>2</v>
      </c>
      <c r="H200">
        <f t="shared" ca="1" si="7"/>
        <v>12</v>
      </c>
      <c r="J200" t="b">
        <f>IF(MID(ExplodedBOM!$E200,1,1)="(",TRUE,FALSE)</f>
        <v>0</v>
      </c>
    </row>
  </sheetData>
  <hyperlinks>
    <hyperlink ref="I179" r:id="rId1"/>
    <hyperlink ref="I184" r:id="rId2"/>
    <hyperlink ref="I58" r:id="rId3"/>
  </hyperlinks>
  <pageMargins left="0.7" right="0.7" top="0.75" bottom="0.75" header="0.3" footer="0.3"/>
  <pageSetup orientation="portrait" r:id="rId4"/>
  <drawing r:id="rId5"/>
  <legacyDrawing r:id="rId6"/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7"/>
  <sheetViews>
    <sheetView tabSelected="1" topLeftCell="A50" workbookViewId="0">
      <selection activeCell="H74" sqref="H74"/>
    </sheetView>
  </sheetViews>
  <sheetFormatPr defaultRowHeight="15" x14ac:dyDescent="0.25"/>
  <cols>
    <col min="1" max="1" width="35.5703125" bestFit="1" customWidth="1"/>
    <col min="2" max="2" width="9" bestFit="1" customWidth="1"/>
  </cols>
  <sheetData>
    <row r="1" spans="1:7" x14ac:dyDescent="0.25">
      <c r="A1" s="3" t="s">
        <v>114</v>
      </c>
      <c r="B1" t="s">
        <v>115</v>
      </c>
    </row>
    <row r="3" spans="1:7" x14ac:dyDescent="0.25">
      <c r="A3" s="3" t="s">
        <v>109</v>
      </c>
      <c r="B3" t="s">
        <v>120</v>
      </c>
      <c r="C3" t="s">
        <v>113</v>
      </c>
      <c r="D3" t="s">
        <v>122</v>
      </c>
      <c r="E3" t="s">
        <v>154</v>
      </c>
      <c r="F3" t="s">
        <v>129</v>
      </c>
      <c r="G3" t="s">
        <v>265</v>
      </c>
    </row>
    <row r="4" spans="1:7" x14ac:dyDescent="0.25">
      <c r="A4" s="4" t="s">
        <v>171</v>
      </c>
      <c r="B4" s="5">
        <v>16</v>
      </c>
      <c r="C4" t="str">
        <f>VLOOKUP(A4,PartSpecs!A:Z,2,FALSE)</f>
        <v>Misumi</v>
      </c>
      <c r="D4" t="str">
        <f>VLOOKUP(A4,PartSpecs!A:Z,3,FALSE)</f>
        <v>HFC5-2020</v>
      </c>
      <c r="E4" t="str">
        <f>VLOOKUP(A4,PartSpecs!A:Z,4,FALSE)</f>
        <v>HFC5-2020</v>
      </c>
      <c r="F4" t="str">
        <f>VLOOKUP(A4,PartSpecs!A:Z,5,FALSE)</f>
        <v>Site is designed for commerical customers, but you can still setup an account.  You must manually enter the part numbers into a purchase order.</v>
      </c>
      <c r="G4" t="str">
        <f>VLOOKUP(A4,PartSpecs!A:Z,6,FALSE)</f>
        <v>[http://us.misumi-ec.com/]</v>
      </c>
    </row>
    <row r="5" spans="1:7" x14ac:dyDescent="0.25">
      <c r="A5" s="4" t="s">
        <v>56</v>
      </c>
      <c r="B5" s="5">
        <v>1</v>
      </c>
      <c r="C5" t="str">
        <f>VLOOKUP(A5,PartSpecs!A:Z,2,FALSE)</f>
        <v>Misumi</v>
      </c>
      <c r="D5" t="str">
        <f>VLOOKUP(A5,PartSpecs!A:Z,3,FALSE)</f>
        <v>HFS5-2020-134</v>
      </c>
      <c r="E5" t="str">
        <f>VLOOKUP(A5,PartSpecs!A:Z,4,FALSE)</f>
        <v>HFS5-2020-134</v>
      </c>
      <c r="F5" t="str">
        <f>VLOOKUP(A5,PartSpecs!A:Z,5,FALSE)</f>
        <v>Site is designed for commerical customers, but you can still setup an account.  You must manually enter the part numbers into a purchase order.</v>
      </c>
      <c r="G5" t="str">
        <f>VLOOKUP(A5,PartSpecs!A:Z,6,FALSE)</f>
        <v>[http://us.misumi-ec.com/]</v>
      </c>
    </row>
    <row r="6" spans="1:7" x14ac:dyDescent="0.25">
      <c r="A6" s="4" t="s">
        <v>54</v>
      </c>
      <c r="B6" s="5">
        <v>3</v>
      </c>
      <c r="C6" t="str">
        <f>VLOOKUP(A6,PartSpecs!A:Z,2,FALSE)</f>
        <v>Misumi</v>
      </c>
      <c r="D6" t="str">
        <f>VLOOKUP(A6,PartSpecs!A:Z,3,FALSE)</f>
        <v>HFS5-2020-200</v>
      </c>
      <c r="E6" t="str">
        <f>VLOOKUP(A6,PartSpecs!A:Z,4,FALSE)</f>
        <v>HFS5-2020-200</v>
      </c>
      <c r="F6" t="str">
        <f>VLOOKUP(A6,PartSpecs!A:Z,5,FALSE)</f>
        <v>Site is designed for commerical customers, but you can still setup an account.  You must manually enter the part numbers into a purchase order.</v>
      </c>
      <c r="G6" t="str">
        <f>VLOOKUP(A6,PartSpecs!A:Z,6,FALSE)</f>
        <v>[http://us.misumi-ec.com/]</v>
      </c>
    </row>
    <row r="7" spans="1:7" x14ac:dyDescent="0.25">
      <c r="A7" s="4" t="s">
        <v>4</v>
      </c>
      <c r="B7" s="5">
        <v>7</v>
      </c>
      <c r="C7" t="str">
        <f>VLOOKUP(A7,PartSpecs!A:Z,2,FALSE)</f>
        <v>Misumi</v>
      </c>
      <c r="D7" t="str">
        <f>VLOOKUP(A7,PartSpecs!A:Z,3,FALSE)</f>
        <v>HFS5-2020-300</v>
      </c>
      <c r="E7" t="str">
        <f>VLOOKUP(A7,PartSpecs!A:Z,4,FALSE)</f>
        <v>HFS5-2020-300</v>
      </c>
      <c r="F7" t="str">
        <f>VLOOKUP(A7,PartSpecs!A:Z,5,FALSE)</f>
        <v>Site is designed for commerical customers, but you can still setup an account.  You must manually enter the part numbers into a purchase order.</v>
      </c>
      <c r="G7" t="str">
        <f>VLOOKUP(A7,PartSpecs!A:Z,6,FALSE)</f>
        <v>[http://us.misumi-ec.com/]</v>
      </c>
    </row>
    <row r="8" spans="1:7" x14ac:dyDescent="0.25">
      <c r="A8" s="4" t="s">
        <v>39</v>
      </c>
      <c r="B8" s="5">
        <v>7</v>
      </c>
      <c r="C8" t="str">
        <f>VLOOKUP(A8,PartSpecs!A:Z,2,FALSE)</f>
        <v>Misumi</v>
      </c>
      <c r="D8" t="str">
        <f>VLOOKUP(A8,PartSpecs!A:Z,3,FALSE)</f>
        <v>HFS5-2020-371</v>
      </c>
      <c r="E8" t="str">
        <f>VLOOKUP(A8,PartSpecs!A:Z,4,FALSE)</f>
        <v>HFS5-2020-371</v>
      </c>
      <c r="F8" t="str">
        <f>VLOOKUP(A8,PartSpecs!A:Z,5,FALSE)</f>
        <v>Site is designed for commerical customers, but you can still setup an account.  You must manually enter the part numbers into a purchase order.</v>
      </c>
      <c r="G8" t="str">
        <f>VLOOKUP(A8,PartSpecs!A:Z,6,FALSE)</f>
        <v>[http://us.misumi-ec.com/]</v>
      </c>
    </row>
    <row r="9" spans="1:7" x14ac:dyDescent="0.25">
      <c r="A9" s="4" t="s">
        <v>55</v>
      </c>
      <c r="B9" s="5">
        <v>2</v>
      </c>
      <c r="C9" t="str">
        <f>VLOOKUP(A9,PartSpecs!A:Z,2,FALSE)</f>
        <v>Misumi</v>
      </c>
      <c r="D9" t="str">
        <f>VLOOKUP(A9,PartSpecs!A:Z,3,FALSE)</f>
        <v>HFS5-2020-50</v>
      </c>
      <c r="E9" t="str">
        <f>VLOOKUP(A9,PartSpecs!A:Z,4,FALSE)</f>
        <v>HFS5-2020-50</v>
      </c>
      <c r="F9" t="str">
        <f>VLOOKUP(A9,PartSpecs!A:Z,5,FALSE)</f>
        <v>Site is designed for commerical customers, but you can still setup an account.  You must manually enter the part numbers into a purchase order.</v>
      </c>
      <c r="G9" t="str">
        <f>VLOOKUP(A9,PartSpecs!A:Z,6,FALSE)</f>
        <v>[http://us.misumi-ec.com/]</v>
      </c>
    </row>
    <row r="10" spans="1:7" x14ac:dyDescent="0.25">
      <c r="A10" s="4" t="s">
        <v>0</v>
      </c>
      <c r="B10" s="5">
        <v>3</v>
      </c>
      <c r="C10" t="str">
        <f>VLOOKUP(A10,PartSpecs!A:Z,2,FALSE)</f>
        <v>Misumi</v>
      </c>
      <c r="D10" t="str">
        <f>VLOOKUP(A10,PartSpecs!A:Z,3,FALSE)</f>
        <v>HFS5-2020-800</v>
      </c>
      <c r="E10" t="str">
        <f>VLOOKUP(A10,PartSpecs!A:Z,4,FALSE)</f>
        <v>HFS5-2020-800</v>
      </c>
      <c r="F10" t="str">
        <f>VLOOKUP(A10,PartSpecs!A:Z,5,FALSE)</f>
        <v>Site is designed for commerical customers, but you can still setup an account.  You must manually enter the part numbers into a purchase order.</v>
      </c>
      <c r="G10" t="str">
        <f>VLOOKUP(A10,PartSpecs!A:Z,6,FALSE)</f>
        <v>[http://us.misumi-ec.com/]</v>
      </c>
    </row>
    <row r="11" spans="1:7" x14ac:dyDescent="0.25">
      <c r="A11" s="4" t="s">
        <v>64</v>
      </c>
      <c r="B11" s="5">
        <v>4</v>
      </c>
      <c r="C11" t="str">
        <f>VLOOKUP(A11,PartSpecs!A:Z,2,FALSE)</f>
        <v>Amazon</v>
      </c>
      <c r="D11" t="str">
        <f>VLOOKUP(A11,PartSpecs!A:Z,3,FALSE)</f>
        <v>608z</v>
      </c>
      <c r="E11" t="str">
        <f>VLOOKUP(A11,PartSpecs!A:Z,4,FALSE)</f>
        <v xml:space="preserve"> </v>
      </c>
      <c r="F11" t="str">
        <f>VLOOKUP(A11,PartSpecs!A:Z,5,FALSE)</f>
        <v>Easily sourced</v>
      </c>
      <c r="G11" t="str">
        <f>VLOOKUP(A11,PartSpecs!A:Z,6,FALSE)</f>
        <v>[http://www.amazon.com/Amico-Single-Shielded-Miniature-Bearings/dp/B00843OUNI/ref=sr_1_1?ie=UTF8&amp;qid=1391903370&amp;sr=8-1&amp;keywords=608z]</v>
      </c>
    </row>
    <row r="12" spans="1:7" x14ac:dyDescent="0.25">
      <c r="A12" s="4" t="s">
        <v>42</v>
      </c>
      <c r="B12" s="5">
        <v>6</v>
      </c>
      <c r="C12" t="str">
        <f>VLOOKUP(A12,PartSpecs!A:Z,2,FALSE)</f>
        <v>Amazon</v>
      </c>
      <c r="D12" t="str">
        <f>VLOOKUP(A12,PartSpecs!A:Z,3,FALSE)</f>
        <v>624z</v>
      </c>
      <c r="E12" t="str">
        <f>VLOOKUP(A12,PartSpecs!A:Z,4,FALSE)</f>
        <v xml:space="preserve"> </v>
      </c>
      <c r="F12" t="str">
        <f>VLOOKUP(A12,PartSpecs!A:Z,5,FALSE)</f>
        <v>Easily sourced</v>
      </c>
      <c r="G12" t="str">
        <f>VLOOKUP(A12,PartSpecs!A:Z,6,FALSE)</f>
        <v>[http://www.amazon.com/Amico-Single-Shielded-Groove-Bearing/dp/B00AUB7M3C/ref=sr_1_1?ie=UTF8&amp;qid=1391903417&amp;sr=8-1&amp;keywords=624z]</v>
      </c>
    </row>
    <row r="13" spans="1:7" x14ac:dyDescent="0.25">
      <c r="A13" s="4" t="s">
        <v>31</v>
      </c>
      <c r="B13" s="5">
        <v>1</v>
      </c>
      <c r="C13" t="str">
        <f>VLOOKUP(A13,PartSpecs!A:Z,2,FALSE)</f>
        <v>SeeMeCNC</v>
      </c>
      <c r="D13" t="str">
        <f>VLOOKUP(A13,PartSpecs!A:Z,3,FALSE)</f>
        <v xml:space="preserve"> </v>
      </c>
      <c r="E13">
        <f>VLOOKUP(A13,PartSpecs!A:Z,4,FALSE)</f>
        <v>26602</v>
      </c>
      <c r="F13" t="str">
        <f>VLOOKUP(A13,PartSpecs!A:Z,5,FALSE)</f>
        <v>300mm, round borosilicate!</v>
      </c>
      <c r="G13" t="str">
        <f>VLOOKUP(A13,PartSpecs!A:Z,6,FALSE)</f>
        <v>[http://seemecnc.com/products/boroscillicate-glass-build-plate-300mm]</v>
      </c>
    </row>
    <row r="14" spans="1:7" x14ac:dyDescent="0.25">
      <c r="A14" s="4" t="s">
        <v>119</v>
      </c>
      <c r="B14" s="5">
        <v>3</v>
      </c>
      <c r="C14" t="str">
        <f>VLOOKUP(A14,PartSpecs!A:Z,2,FALSE)</f>
        <v>OpenBuilds</v>
      </c>
      <c r="D14" t="str">
        <f>VLOOKUP(A14,PartSpecs!A:Z,3,FALSE)</f>
        <v xml:space="preserve"> </v>
      </c>
      <c r="E14" t="str">
        <f>VLOOKUP(A14,PartSpecs!A:Z,4,FALSE)</f>
        <v xml:space="preserve"> </v>
      </c>
      <c r="F14" t="str">
        <f>VLOOKUP(A14,PartSpecs!A:Z,5,FALSE)</f>
        <v>Order by the foot. 304.8 mm / ft!</v>
      </c>
      <c r="G14" t="str">
        <f>VLOOKUP(A14,PartSpecs!A:Z,6,FALSE)</f>
        <v>[http://openbuildspartstore.com/gt2-2mm-timing-belt/]</v>
      </c>
    </row>
    <row r="15" spans="1:7" x14ac:dyDescent="0.25">
      <c r="A15" s="4" t="s">
        <v>270</v>
      </c>
      <c r="B15" s="5">
        <v>6</v>
      </c>
      <c r="C15" t="str">
        <f>VLOOKUP(A15,PartSpecs!A:Z,2,FALSE)</f>
        <v>Ponoko</v>
      </c>
      <c r="D15" t="str">
        <f>VLOOKUP(A15,PartSpecs!A:Z,3,FALSE)</f>
        <v xml:space="preserve"> </v>
      </c>
      <c r="E15" t="str">
        <f>VLOOKUP(A15,PartSpecs!A:Z,4,FALSE)</f>
        <v xml:space="preserve"> </v>
      </c>
      <c r="F15" t="str">
        <f>VLOOKUP(A15,PartSpecs!A:Z,5,FALSE)</f>
        <v>Legacy brace.  Still may be viable and desired by some users.  Included by default in Ponoko cut-out .svg</v>
      </c>
      <c r="G15" t="str">
        <f>VLOOKUP(A15,PartSpecs!A:Z,6,FALSE)</f>
        <v>[http://www.ponoko.com/design-your-own/products/cossel-wood-plate-11227]</v>
      </c>
    </row>
    <row r="16" spans="1:7" x14ac:dyDescent="0.25">
      <c r="A16" s="4" t="s">
        <v>271</v>
      </c>
      <c r="B16" s="5">
        <v>12</v>
      </c>
      <c r="C16" t="str">
        <f>VLOOKUP(A16,PartSpecs!A:Z,2,FALSE)</f>
        <v>Ponoko</v>
      </c>
      <c r="D16" t="str">
        <f>VLOOKUP(A16,PartSpecs!A:Z,3,FALSE)</f>
        <v xml:space="preserve"> </v>
      </c>
      <c r="E16" t="str">
        <f>VLOOKUP(A16,PartSpecs!A:Z,4,FALSE)</f>
        <v xml:space="preserve"> </v>
      </c>
      <c r="F16" t="str">
        <f>VLOOKUP(A16,PartSpecs!A:Z,5,FALSE)</f>
        <v>Legacy brace.  Still may be viable and desired by some users.  Included by default in Ponoko cut-out .svg</v>
      </c>
      <c r="G16" t="str">
        <f>VLOOKUP(A16,PartSpecs!A:Z,6,FALSE)</f>
        <v>[http://www.ponoko.com/design-your-own/products/cossel-wood-plate-11227]</v>
      </c>
    </row>
    <row r="17" spans="1:7" x14ac:dyDescent="0.25">
      <c r="A17" s="4" t="s">
        <v>25</v>
      </c>
      <c r="B17" s="5">
        <v>1</v>
      </c>
      <c r="C17" t="str">
        <f>VLOOKUP(A17,PartSpecs!A:Z,2,FALSE)</f>
        <v>Ponoko</v>
      </c>
      <c r="D17" t="str">
        <f>VLOOKUP(A17,PartSpecs!A:Z,3,FALSE)</f>
        <v xml:space="preserve"> </v>
      </c>
      <c r="E17" t="str">
        <f>VLOOKUP(A17,PartSpecs!A:Z,4,FALSE)</f>
        <v xml:space="preserve"> </v>
      </c>
      <c r="F17" t="str">
        <f>VLOOKUP(A17,PartSpecs!A:Z,5,FALSE)</f>
        <v>Wooden piece.  Laser cutting files on GitHub &amp; ponoko</v>
      </c>
      <c r="G17" t="str">
        <f>VLOOKUP(A17,PartSpecs!A:Z,6,FALSE)</f>
        <v>[http://www.ponoko.com/design-your-own/products/cossel-wood-plate-11227]</v>
      </c>
    </row>
    <row r="18" spans="1:7" x14ac:dyDescent="0.25">
      <c r="A18" s="4" t="s">
        <v>127</v>
      </c>
      <c r="B18" s="5">
        <v>1</v>
      </c>
      <c r="C18" t="str">
        <f>VLOOKUP(A18,PartSpecs!A:Z,2,FALSE)</f>
        <v>Ponoko</v>
      </c>
      <c r="D18" t="str">
        <f>VLOOKUP(A18,PartSpecs!A:Z,3,FALSE)</f>
        <v xml:space="preserve"> </v>
      </c>
      <c r="E18" t="str">
        <f>VLOOKUP(A18,PartSpecs!A:Z,4,FALSE)</f>
        <v xml:space="preserve"> </v>
      </c>
      <c r="F18" t="str">
        <f>VLOOKUP(A18,PartSpecs!A:Z,5,FALSE)</f>
        <v>Wooden piece.  Laser cutting files on GitHub &amp; ponoko</v>
      </c>
      <c r="G18" t="str">
        <f>VLOOKUP(A18,PartSpecs!A:Z,6,FALSE)</f>
        <v>[http://www.ponoko.com/design-your-own/products/cossel-wood-plate-11227]</v>
      </c>
    </row>
    <row r="19" spans="1:7" x14ac:dyDescent="0.25">
      <c r="A19" s="4" t="s">
        <v>126</v>
      </c>
      <c r="B19" s="5">
        <v>1</v>
      </c>
      <c r="C19" t="str">
        <f>VLOOKUP(A19,PartSpecs!A:Z,2,FALSE)</f>
        <v>Ponoko</v>
      </c>
      <c r="D19" t="str">
        <f>VLOOKUP(A19,PartSpecs!A:Z,3,FALSE)</f>
        <v xml:space="preserve"> </v>
      </c>
      <c r="E19" t="str">
        <f>VLOOKUP(A19,PartSpecs!A:Z,4,FALSE)</f>
        <v xml:space="preserve"> </v>
      </c>
      <c r="F19" t="str">
        <f>VLOOKUP(A19,PartSpecs!A:Z,5,FALSE)</f>
        <v>Wooden piece.  Laser cutting files on GitHub &amp; ponoko</v>
      </c>
      <c r="G19" t="str">
        <f>VLOOKUP(A19,PartSpecs!A:Z,6,FALSE)</f>
        <v>[http://www.ponoko.com/design-your-own/products/cossel-wood-plate-11227]</v>
      </c>
    </row>
    <row r="20" spans="1:7" x14ac:dyDescent="0.25">
      <c r="A20" s="4" t="s">
        <v>52</v>
      </c>
      <c r="B20" s="5">
        <v>9</v>
      </c>
      <c r="C20" t="str">
        <f>VLOOKUP(A20,PartSpecs!A:Z,2,FALSE)</f>
        <v>Misumui</v>
      </c>
      <c r="D20" t="str">
        <f>VLOOKUP(A20,PartSpecs!A:Z,3,FALSE)</f>
        <v>HBLFSN5</v>
      </c>
      <c r="E20" t="str">
        <f>VLOOKUP(A20,PartSpecs!A:Z,4,FALSE)</f>
        <v>HBLFSN5</v>
      </c>
      <c r="F20" t="str">
        <f>VLOOKUP(A20,PartSpecs!A:Z,5,FALSE)</f>
        <v>Site is designed for commerical customers, but you can still setup an account.  You must manually enter the part numbers into a purchase order.</v>
      </c>
      <c r="G20" t="str">
        <f>VLOOKUP(A20,PartSpecs!A:Z,6,FALSE)</f>
        <v>[http://us.misumi-ec.com/]</v>
      </c>
    </row>
    <row r="21" spans="1:7" x14ac:dyDescent="0.25">
      <c r="A21" s="4" t="s">
        <v>148</v>
      </c>
      <c r="B21" s="5">
        <v>2</v>
      </c>
      <c r="C21" t="str">
        <f>VLOOKUP(A21,PartSpecs!A:Z,2,FALSE)</f>
        <v>SparkFun</v>
      </c>
      <c r="D21" t="str">
        <f>VLOOKUP(A21,PartSpecs!A:Z,3,FALSE)</f>
        <v xml:space="preserve"> </v>
      </c>
      <c r="E21" t="str">
        <f>VLOOKUP(A21,PartSpecs!A:Z,4,FALSE)</f>
        <v>CAB-1064</v>
      </c>
      <c r="F21" t="str">
        <f>VLOOKUP(A21,PartSpecs!A:Z,5,FALSE)</f>
        <v>Used for bulk-running the opto +V, SIG, &amp; GND to the board.  Also used for clean motor runs and I/O to the EE.  Note, some have suggested this is too thin of wire gauge.  User to decide</v>
      </c>
      <c r="G21" t="str">
        <f>VLOOKUP(A21,PartSpecs!A:Z,6,FALSE)</f>
        <v>[https://www.sparkfun.com/products/10647]</v>
      </c>
    </row>
    <row r="22" spans="1:7" x14ac:dyDescent="0.25">
      <c r="A22" s="4" t="s">
        <v>65</v>
      </c>
      <c r="B22" s="5">
        <v>2</v>
      </c>
      <c r="C22" t="str">
        <f>VLOOKUP(A22,PartSpecs!A:Z,2,FALSE)</f>
        <v>RepRap Sources</v>
      </c>
      <c r="D22" t="str">
        <f>VLOOKUP(A22,PartSpecs!A:Z,3,FALSE)</f>
        <v xml:space="preserve"> </v>
      </c>
      <c r="E22" t="str">
        <f>VLOOKUP(A22,PartSpecs!A:Z,4,FALSE)</f>
        <v xml:space="preserve"> </v>
      </c>
      <c r="F22" t="str">
        <f>VLOOKUP(A22,PartSpecs!A:Z,5,FALSE)</f>
        <v>Mk7-like with 8mm bore to be compatible with phidgets geared steppers.</v>
      </c>
      <c r="G22" t="str">
        <f>VLOOKUP(A22,PartSpecs!A:Z,6,FALSE)</f>
        <v>[http://reprap.org/wiki/Drive-gear]</v>
      </c>
    </row>
    <row r="23" spans="1:7" x14ac:dyDescent="0.25">
      <c r="A23" s="4" t="s">
        <v>239</v>
      </c>
      <c r="B23" s="5">
        <v>1</v>
      </c>
      <c r="C23" t="str">
        <f>VLOOKUP(A23,PartSpecs!A:Z,2,FALSE)</f>
        <v>Amazon</v>
      </c>
      <c r="D23" t="str">
        <f>VLOOKUP(A23,PartSpecs!A:Z,3,FALSE)</f>
        <v xml:space="preserve"> </v>
      </c>
      <c r="E23" t="str">
        <f>VLOOKUP(A23,PartSpecs!A:Z,4,FALSE)</f>
        <v xml:space="preserve"> </v>
      </c>
      <c r="F23" t="str">
        <f>VLOOKUP(A23,PartSpecs!A:Z,5,FALSE)</f>
        <v>For gluing the rod ends to the carbon tubing</v>
      </c>
      <c r="G23" t="str">
        <f>VLOOKUP(A23,PartSpecs!A:Z,6,FALSE)</f>
        <v>[http://www.amazon.com/Devcon-2-Ton-Crystal-Clear-0-84-Ounce/dp/B0006O8QQ0/ref=sr_1_1?s=toys-and-games&amp;ie=UTF8&amp;qid=1391907029&amp;sr=1-1&amp;keywords=two+part+epoxy]</v>
      </c>
    </row>
    <row r="24" spans="1:7" x14ac:dyDescent="0.25">
      <c r="A24" s="4" t="s">
        <v>80</v>
      </c>
      <c r="B24" s="5">
        <v>2</v>
      </c>
      <c r="C24" t="str">
        <f>VLOOKUP(A24,PartSpecs!A:Z,2,FALSE)</f>
        <v>MakerGear</v>
      </c>
      <c r="D24" t="str">
        <f>VLOOKUP(A24,PartSpecs!A:Z,3,FALSE)</f>
        <v xml:space="preserve"> </v>
      </c>
      <c r="E24" t="str">
        <f>VLOOKUP(A24,PartSpecs!A:Z,4,FALSE)</f>
        <v xml:space="preserve"> </v>
      </c>
      <c r="F24" t="str">
        <f>VLOOKUP(A24,PartSpecs!A:Z,5,FALSE)</f>
        <v>Make sure to configure your order for 1.75 barrel.</v>
      </c>
      <c r="G24" t="str">
        <f>VLOOKUP(A24,PartSpecs!A:Z,6,FALSE)</f>
        <v>[http://www.makergear.com/products/extruders]</v>
      </c>
    </row>
    <row r="25" spans="1:7" x14ac:dyDescent="0.25">
      <c r="A25" s="4" t="s">
        <v>86</v>
      </c>
      <c r="B25" s="5">
        <v>2</v>
      </c>
      <c r="C25" t="str">
        <f>VLOOKUP(A25,PartSpecs!A:Z,2,FALSE)</f>
        <v>Amazon</v>
      </c>
      <c r="D25" t="str">
        <f>VLOOKUP(A25,PartSpecs!A:Z,3,FALSE)</f>
        <v xml:space="preserve"> </v>
      </c>
      <c r="E25" t="str">
        <f>VLOOKUP(A25,PartSpecs!A:Z,4,FALSE)</f>
        <v xml:space="preserve"> </v>
      </c>
      <c r="F25" t="str">
        <f>VLOOKUP(A25,PartSpecs!A:Z,5,FALSE)</f>
        <v>Most 40mm 12VDC fans should do the trick</v>
      </c>
      <c r="G25" t="str">
        <f>VLOOKUP(A25,PartSpecs!A:Z,6,FALSE)</f>
        <v>[http://www.amazon.com/Gelid-Solutions-Silent-40mm-FN-SX04-42/dp/B00BF3S83C/ref=sr_1_6?s=electronics&amp;ie=UTF8&amp;qid=1391904001&amp;sr=1-6&amp;keywords=40mm+fan]</v>
      </c>
    </row>
    <row r="26" spans="1:7" x14ac:dyDescent="0.25">
      <c r="A26" s="4" t="s">
        <v>77</v>
      </c>
      <c r="B26" s="5">
        <v>4</v>
      </c>
      <c r="C26" t="str">
        <f>VLOOKUP(A26,PartSpecs!A:Z,2,FALSE)</f>
        <v>Amazon</v>
      </c>
      <c r="D26" t="str">
        <f>VLOOKUP(A26,PartSpecs!A:Z,3,FALSE)</f>
        <v>KQ2S04-M5A</v>
      </c>
      <c r="E26" t="str">
        <f>VLOOKUP(A26,PartSpecs!A:Z,4,FALSE)</f>
        <v xml:space="preserve"> </v>
      </c>
      <c r="F26" t="str">
        <f>VLOOKUP(A26,PartSpecs!A:Z,5,FALSE)</f>
        <v>5mm thread req'd and 4mm OD tube receptable req'd</v>
      </c>
      <c r="G26" t="str">
        <f>VLOOKUP(A26,PartSpecs!A:Z,6,FALSE)</f>
        <v>[http://www.amazon.com/dp/B00AM42V6U/ref=biss_dp_sa1]</v>
      </c>
    </row>
    <row r="27" spans="1:7" x14ac:dyDescent="0.25">
      <c r="A27" s="4" t="s">
        <v>105</v>
      </c>
      <c r="B27" s="5">
        <v>3</v>
      </c>
      <c r="C27" t="str">
        <f>VLOOKUP(A27,PartSpecs!A:Z,2,FALSE)</f>
        <v>OpenBuilds</v>
      </c>
      <c r="D27" t="str">
        <f>VLOOKUP(A27,PartSpecs!A:Z,3,FALSE)</f>
        <v xml:space="preserve"> </v>
      </c>
      <c r="E27" t="str">
        <f>VLOOKUP(A27,PartSpecs!A:Z,4,FALSE)</f>
        <v xml:space="preserve"> </v>
      </c>
      <c r="F27" t="str">
        <f>VLOOKUP(A27,PartSpecs!A:Z,5,FALSE)</f>
        <v>20 tooth or less is critical to prevent the belt from hitting the carriage</v>
      </c>
      <c r="G27" t="str">
        <f>VLOOKUP(A27,PartSpecs!A:Z,6,FALSE)</f>
        <v>[http://openbuildspartstore.com/gt2-2mm-aluminum-timing-pulley-20/]</v>
      </c>
    </row>
    <row r="28" spans="1:7" x14ac:dyDescent="0.25">
      <c r="A28" s="4" t="s">
        <v>133</v>
      </c>
      <c r="B28" s="5">
        <v>3</v>
      </c>
      <c r="C28" t="str">
        <f>VLOOKUP(A28,PartSpecs!A:Z,2,FALSE)</f>
        <v>Ultimachine</v>
      </c>
      <c r="D28" t="str">
        <f>VLOOKUP(A28,PartSpecs!A:Z,3,FALSE)</f>
        <v xml:space="preserve"> </v>
      </c>
      <c r="E28" t="str">
        <f>VLOOKUP(A28,PartSpecs!A:Z,4,FALSE)</f>
        <v>UMN17MTR</v>
      </c>
      <c r="F28" t="str">
        <f>VLOOKUP(A28,PartSpecs!A:Z,5,FALSE)</f>
        <v>Std reprap motor</v>
      </c>
      <c r="G28" t="str">
        <f>VLOOKUP(A28,PartSpecs!A:Z,6,FALSE)</f>
        <v>[https://ultimachine.com/content/kysan-1124090-nema-17-stepper-motor]</v>
      </c>
    </row>
    <row r="29" spans="1:7" x14ac:dyDescent="0.25">
      <c r="A29" s="4" t="s">
        <v>134</v>
      </c>
      <c r="B29" s="5">
        <v>2</v>
      </c>
      <c r="C29" t="str">
        <f>VLOOKUP(A29,PartSpecs!A:Z,2,FALSE)</f>
        <v>Phidgets</v>
      </c>
      <c r="D29" t="str">
        <f>VLOOKUP(A29,PartSpecs!A:Z,3,FALSE)</f>
        <v xml:space="preserve"> </v>
      </c>
      <c r="E29" t="str">
        <f>VLOOKUP(A29,PartSpecs!A:Z,4,FALSE)</f>
        <v>3317_1</v>
      </c>
      <c r="F29" t="str">
        <f>VLOOKUP(A29,PartSpecs!A:Z,5,FALSE)</f>
        <v>Extra torque required for long bowden path to hot end</v>
      </c>
      <c r="G29" t="str">
        <f>VLOOKUP(A29,PartSpecs!A:Z,6,FALSE)</f>
        <v>[http://www.phidgets.com/products.php?product_id=3317]</v>
      </c>
    </row>
    <row r="30" spans="1:7" x14ac:dyDescent="0.25">
      <c r="A30" s="4" t="s">
        <v>53</v>
      </c>
      <c r="B30" s="5">
        <v>69</v>
      </c>
      <c r="C30" t="str">
        <f>VLOOKUP(A30,PartSpecs!A:Z,2,FALSE)</f>
        <v>OpenBuilds</v>
      </c>
      <c r="D30" t="str">
        <f>VLOOKUP(A30,PartSpecs!A:Z,3,FALSE)</f>
        <v xml:space="preserve"> </v>
      </c>
      <c r="E30" t="str">
        <f>VLOOKUP(A30,PartSpecs!A:Z,4,FALSE)</f>
        <v xml:space="preserve"> </v>
      </c>
      <c r="F30" t="str">
        <f>VLOOKUP(A30,PartSpecs!A:Z,5,FALSE)</f>
        <v>Do not order directly for hardware.  You will have excess from your wheel kits which instead use the eccentric spacer.</v>
      </c>
      <c r="G30" t="str">
        <f>VLOOKUP(A30,PartSpecs!A:Z,6,FALSE)</f>
        <v/>
      </c>
    </row>
    <row r="31" spans="1:7" x14ac:dyDescent="0.25">
      <c r="A31" s="4" t="s">
        <v>27</v>
      </c>
      <c r="B31" s="5">
        <v>35</v>
      </c>
      <c r="C31" t="str">
        <f>VLOOKUP(A31,PartSpecs!A:Z,2,FALSE)</f>
        <v>Fastenal</v>
      </c>
      <c r="D31" t="str">
        <f>VLOOKUP(A31,PartSpecs!A:Z,3,FALSE)</f>
        <v xml:space="preserve"> </v>
      </c>
      <c r="E31" t="str">
        <f>VLOOKUP(A31,PartSpecs!A:Z,4,FALSE)</f>
        <v xml:space="preserve"> </v>
      </c>
      <c r="F31" t="str">
        <f>VLOOKUP(A31,PartSpecs!A:Z,5,FALSE)</f>
        <v>Nylon lock preferred</v>
      </c>
      <c r="G31" t="str">
        <f>VLOOKUP(A31,PartSpecs!A:Z,6,FALSE)</f>
        <v>[http://www.fastenal.com/web/products/details/1L2510000A20000?searchMode=productSearch&amp;zipcode=&amp;filterByStore=&amp;filterByVendingMachine=]</v>
      </c>
    </row>
    <row r="32" spans="1:7" x14ac:dyDescent="0.25">
      <c r="A32" s="4" t="s">
        <v>14</v>
      </c>
      <c r="B32" s="5">
        <v>13</v>
      </c>
      <c r="C32" t="str">
        <f>VLOOKUP(A32,PartSpecs!A:Z,2,FALSE)</f>
        <v>Fastenal</v>
      </c>
      <c r="D32" t="str">
        <f>VLOOKUP(A32,PartSpecs!A:Z,3,FALSE)</f>
        <v xml:space="preserve"> </v>
      </c>
      <c r="E32" t="str">
        <f>VLOOKUP(A32,PartSpecs!A:Z,4,FALSE)</f>
        <v xml:space="preserve"> </v>
      </c>
      <c r="F32" t="str">
        <f>VLOOKUP(A32,PartSpecs!A:Z,5,FALSE)</f>
        <v>Jam</v>
      </c>
      <c r="G32" t="str">
        <f>VLOOKUP(A32,PartSpecs!A:Z,6,FALSE)</f>
        <v>[http://www.fastenal.com/web/products/details/MJ2510000A20000?searchMode=productSearch&amp;zipcode=&amp;filterByStore=&amp;filterByVendingMachine=]</v>
      </c>
    </row>
    <row r="33" spans="1:7" x14ac:dyDescent="0.25">
      <c r="A33" s="4" t="s">
        <v>41</v>
      </c>
      <c r="B33" s="5">
        <v>20</v>
      </c>
      <c r="C33" t="str">
        <f>VLOOKUP(A33,PartSpecs!A:Z,2,FALSE)</f>
        <v>Fastenal</v>
      </c>
      <c r="D33" t="str">
        <f>VLOOKUP(A33,PartSpecs!A:Z,3,FALSE)</f>
        <v xml:space="preserve"> </v>
      </c>
      <c r="E33" t="str">
        <f>VLOOKUP(A33,PartSpecs!A:Z,4,FALSE)</f>
        <v xml:space="preserve"> </v>
      </c>
      <c r="F33" t="str">
        <f>VLOOKUP(A33,PartSpecs!A:Z,5,FALSE)</f>
        <v>Nylon lock preferred</v>
      </c>
      <c r="G33" t="str">
        <f>VLOOKUP(A33,PartSpecs!A:Z,6,FALSE)</f>
        <v>[http://www.fastenal.com/web/products/details/1L2530000A20000?searchMode=productSearch&amp;zipcode=&amp;filterByStore=&amp;filterByVendingMachine=]</v>
      </c>
    </row>
    <row r="34" spans="1:7" x14ac:dyDescent="0.25">
      <c r="A34" s="4" t="s">
        <v>269</v>
      </c>
      <c r="B34" s="5">
        <v>91</v>
      </c>
      <c r="C34" t="str">
        <f>VLOOKUP(A34,PartSpecs!A:Z,2,FALSE)</f>
        <v>Misumi</v>
      </c>
      <c r="D34" t="str">
        <f>VLOOKUP(A34,PartSpecs!A:Z,3,FALSE)</f>
        <v>HNTTBS5-4</v>
      </c>
      <c r="E34" t="str">
        <f>VLOOKUP(A34,PartSpecs!A:Z,4,FALSE)</f>
        <v>HNTTBS5-4</v>
      </c>
      <c r="F34" t="str">
        <f>VLOOKUP(A34,PartSpecs!A:Z,5,FALSE)</f>
        <v>Site is designed for commerical customers, but you can still setup an account.  You must manually enter the part numbers into a purchase order.</v>
      </c>
      <c r="G34" t="str">
        <f>VLOOKUP(A34,PartSpecs!A:Z,6,FALSE)</f>
        <v/>
      </c>
    </row>
    <row r="35" spans="1:7" x14ac:dyDescent="0.25">
      <c r="A35" s="4" t="s">
        <v>18</v>
      </c>
      <c r="B35" s="5">
        <v>24</v>
      </c>
      <c r="C35" t="str">
        <f>VLOOKUP(A35,PartSpecs!A:Z,2,FALSE)</f>
        <v>OpenBuilds</v>
      </c>
      <c r="D35" t="str">
        <f>VLOOKUP(A35,PartSpecs!A:Z,3,FALSE)</f>
        <v xml:space="preserve"> </v>
      </c>
      <c r="E35" t="str">
        <f>VLOOKUP(A35,PartSpecs!A:Z,4,FALSE)</f>
        <v xml:space="preserve"> </v>
      </c>
      <c r="F35" t="str">
        <f>VLOOKUP(A35,PartSpecs!A:Z,5,FALSE)</f>
        <v>Do not order directly for hardware.  You will have excess from your wheel kits which instead use the eccentric spacer.</v>
      </c>
      <c r="G35" t="str">
        <f>VLOOKUP(A35,PartSpecs!A:Z,6,FALSE)</f>
        <v/>
      </c>
    </row>
    <row r="36" spans="1:7" x14ac:dyDescent="0.25">
      <c r="A36" s="4" t="s">
        <v>16</v>
      </c>
      <c r="B36" s="5">
        <v>14</v>
      </c>
      <c r="C36" t="str">
        <f>VLOOKUP(A36,PartSpecs!A:Z,2,FALSE)</f>
        <v>OpenBuilds</v>
      </c>
      <c r="D36" t="str">
        <f>VLOOKUP(A36,PartSpecs!A:Z,3,FALSE)</f>
        <v xml:space="preserve"> </v>
      </c>
      <c r="E36" t="str">
        <f>VLOOKUP(A36,PartSpecs!A:Z,4,FALSE)</f>
        <v xml:space="preserve"> </v>
      </c>
      <c r="F36" t="str">
        <f>VLOOKUP(A36,PartSpecs!A:Z,5,FALSE)</f>
        <v>Do not order directly for hardware.  You will have excess from your wheel kits which instead use the eccentric spacer.</v>
      </c>
      <c r="G36" t="str">
        <f>VLOOKUP(A36,PartSpecs!A:Z,6,FALSE)</f>
        <v/>
      </c>
    </row>
    <row r="37" spans="1:7" x14ac:dyDescent="0.25">
      <c r="A37" s="4" t="s">
        <v>212</v>
      </c>
      <c r="B37" s="5">
        <v>12</v>
      </c>
      <c r="C37" t="str">
        <f>VLOOKUP(A37,PartSpecs!A:Z,2,FALSE)</f>
        <v>OpenBuilds</v>
      </c>
      <c r="D37" t="str">
        <f>VLOOKUP(A37,PartSpecs!A:Z,3,FALSE)</f>
        <v xml:space="preserve"> </v>
      </c>
      <c r="E37" t="str">
        <f>VLOOKUP(A37,PartSpecs!A:Z,4,FALSE)</f>
        <v xml:space="preserve"> </v>
      </c>
      <c r="F37" t="str">
        <f>VLOOKUP(A37,PartSpecs!A:Z,5,FALSE)</f>
        <v>Do not order directly for hardware.  You will have excess from your wheel kits which instead use the eccentric spacer.</v>
      </c>
      <c r="G37" t="str">
        <f>VLOOKUP(A37,PartSpecs!A:Z,6,FALSE)</f>
        <v/>
      </c>
    </row>
    <row r="38" spans="1:7" x14ac:dyDescent="0.25">
      <c r="A38" s="4" t="s">
        <v>10</v>
      </c>
      <c r="B38" s="5">
        <v>9</v>
      </c>
      <c r="C38" t="str">
        <f>VLOOKUP(A38,PartSpecs!A:Z,2,FALSE)</f>
        <v>OpenBuilds</v>
      </c>
      <c r="D38" t="str">
        <f>VLOOKUP(A38,PartSpecs!A:Z,3,FALSE)</f>
        <v xml:space="preserve"> </v>
      </c>
      <c r="E38" t="str">
        <f>VLOOKUP(A38,PartSpecs!A:Z,4,FALSE)</f>
        <v xml:space="preserve"> </v>
      </c>
      <c r="F38" t="str">
        <f>VLOOKUP(A38,PartSpecs!A:Z,5,FALSE)</f>
        <v>Do not order directly for hardware.  You will have excess from your wheel kits which instead use the eccentric spacer.</v>
      </c>
      <c r="G38" t="str">
        <f>VLOOKUP(A38,PartSpecs!A:Z,6,FALSE)</f>
        <v/>
      </c>
    </row>
    <row r="39" spans="1:7" x14ac:dyDescent="0.25">
      <c r="A39" s="4" t="s">
        <v>17</v>
      </c>
      <c r="B39" s="5">
        <v>6</v>
      </c>
      <c r="C39" t="str">
        <f>VLOOKUP(A39,PartSpecs!A:Z,2,FALSE)</f>
        <v>OpenBuilds</v>
      </c>
      <c r="D39" t="str">
        <f>VLOOKUP(A39,PartSpecs!A:Z,3,FALSE)</f>
        <v xml:space="preserve"> </v>
      </c>
      <c r="E39" t="str">
        <f>VLOOKUP(A39,PartSpecs!A:Z,4,FALSE)</f>
        <v xml:space="preserve"> </v>
      </c>
      <c r="F39" t="str">
        <f>VLOOKUP(A39,PartSpecs!A:Z,5,FALSE)</f>
        <v>Stock availability can be shaky.  May need to adapt a different eccentric nut.</v>
      </c>
      <c r="G39" t="str">
        <f>VLOOKUP(A39,PartSpecs!A:Z,6,FALSE)</f>
        <v>[http://openbuildspartstore.com/eccentric-spacers/]</v>
      </c>
    </row>
    <row r="40" spans="1:7" x14ac:dyDescent="0.25">
      <c r="A40" s="4" t="s">
        <v>19</v>
      </c>
      <c r="B40" s="5">
        <v>12</v>
      </c>
      <c r="C40" t="str">
        <f>VLOOKUP(A40,PartSpecs!A:Z,2,FALSE)</f>
        <v>OpenBuilds</v>
      </c>
      <c r="D40" t="str">
        <f>VLOOKUP(A40,PartSpecs!A:Z,3,FALSE)</f>
        <v xml:space="preserve"> </v>
      </c>
      <c r="E40" t="str">
        <f>VLOOKUP(A40,PartSpecs!A:Z,4,FALSE)</f>
        <v xml:space="preserve"> </v>
      </c>
      <c r="F40" t="str">
        <f>VLOOKUP(A40,PartSpecs!A:Z,5,FALSE)</f>
        <v>Do not order directly for hardware.  You will have excess from your wheel kits which instead use the eccentric spacer.</v>
      </c>
      <c r="G40" t="str">
        <f>VLOOKUP(A40,PartSpecs!A:Z,6,FALSE)</f>
        <v/>
      </c>
    </row>
    <row r="41" spans="1:7" x14ac:dyDescent="0.25">
      <c r="A41" s="4" t="s">
        <v>11</v>
      </c>
      <c r="B41" s="5">
        <v>6</v>
      </c>
      <c r="C41" t="str">
        <f>VLOOKUP(A41,PartSpecs!A:Z,2,FALSE)</f>
        <v>OpenBuilds</v>
      </c>
      <c r="D41" t="str">
        <f>VLOOKUP(A41,PartSpecs!A:Z,3,FALSE)</f>
        <v xml:space="preserve"> </v>
      </c>
      <c r="E41" t="str">
        <f>VLOOKUP(A41,PartSpecs!A:Z,4,FALSE)</f>
        <v xml:space="preserve"> </v>
      </c>
      <c r="F41" t="str">
        <f>VLOOKUP(A41,PartSpecs!A:Z,5,FALSE)</f>
        <v>Wheel kit</v>
      </c>
      <c r="G41" t="str">
        <f>VLOOKUP(A41,PartSpecs!A:Z,6,FALSE)</f>
        <v>[http://openbuildspartstore.com/openbuilds-dual-v-wheel-kit-delrin/]</v>
      </c>
    </row>
    <row r="42" spans="1:7" x14ac:dyDescent="0.25">
      <c r="A42" s="4" t="s">
        <v>12</v>
      </c>
      <c r="B42" s="5">
        <v>6</v>
      </c>
      <c r="C42" t="str">
        <f>VLOOKUP(A42,PartSpecs!A:Z,2,FALSE)</f>
        <v>OpenBuilds</v>
      </c>
      <c r="D42" t="str">
        <f>VLOOKUP(A42,PartSpecs!A:Z,3,FALSE)</f>
        <v xml:space="preserve"> </v>
      </c>
      <c r="E42" t="str">
        <f>VLOOKUP(A42,PartSpecs!A:Z,4,FALSE)</f>
        <v xml:space="preserve"> </v>
      </c>
      <c r="F42" t="str">
        <f>VLOOKUP(A42,PartSpecs!A:Z,5,FALSE)</f>
        <v>Wheel kit</v>
      </c>
      <c r="G42" t="str">
        <f>VLOOKUP(A42,PartSpecs!A:Z,6,FALSE)</f>
        <v>[http://openbuildspartstore.com/openbuilds-dual-v-wheel-kit-metal/]</v>
      </c>
    </row>
    <row r="43" spans="1:7" x14ac:dyDescent="0.25">
      <c r="A43" s="4" t="s">
        <v>1</v>
      </c>
      <c r="B43" s="5">
        <v>3</v>
      </c>
      <c r="C43" t="str">
        <f>VLOOKUP(A43,PartSpecs!A:Z,2,FALSE)</f>
        <v>OpenBuilds</v>
      </c>
      <c r="D43" t="str">
        <f>VLOOKUP(A43,PartSpecs!A:Z,3,FALSE)</f>
        <v xml:space="preserve"> </v>
      </c>
      <c r="E43" t="str">
        <f>VLOOKUP(A43,PartSpecs!A:Z,4,FALSE)</f>
        <v xml:space="preserve"> </v>
      </c>
      <c r="F43" t="str">
        <f>VLOOKUP(A43,PartSpecs!A:Z,5,FALSE)</f>
        <v>Order the 1000mm's and cut to length</v>
      </c>
      <c r="G43" t="str">
        <f>VLOOKUP(A43,PartSpecs!A:Z,6,FALSE)</f>
        <v>[http://openbuildspartstore.com/openrail-black-anodized/]</v>
      </c>
    </row>
    <row r="44" spans="1:7" x14ac:dyDescent="0.25">
      <c r="A44" s="4" t="s">
        <v>82</v>
      </c>
      <c r="B44" s="5">
        <v>1</v>
      </c>
      <c r="C44" t="str">
        <f>VLOOKUP(A44,PartSpecs!A:Z,2,FALSE)</f>
        <v>Ultimachine</v>
      </c>
      <c r="D44" t="str">
        <f>VLOOKUP(A44,PartSpecs!A:Z,3,FALSE)</f>
        <v xml:space="preserve"> </v>
      </c>
      <c r="E44" t="str">
        <f>VLOOKUP(A44,PartSpecs!A:Z,4,FALSE)</f>
        <v xml:space="preserve"> </v>
      </c>
      <c r="F44" t="str">
        <f>VLOOKUP(A44,PartSpecs!A:Z,5,FALSE)</f>
        <v>Note: The RAMPS stack below includes a MEGA 2560.  Make sure not to double buy!</v>
      </c>
      <c r="G44" t="str">
        <f>VLOOKUP(A44,PartSpecs!A:Z,6,FALSE)</f>
        <v>[https://ultimachine.com/content/arduino-mega-2560-r3]</v>
      </c>
    </row>
    <row r="45" spans="1:7" x14ac:dyDescent="0.25">
      <c r="A45" s="4" t="s">
        <v>219</v>
      </c>
      <c r="B45" s="5">
        <v>1</v>
      </c>
      <c r="C45" t="str">
        <f>VLOOKUP(A45,PartSpecs!A:Z,2,FALSE)</f>
        <v>Geeetech</v>
      </c>
      <c r="D45" t="str">
        <f>VLOOKUP(A45,PartSpecs!A:Z,3,FALSE)</f>
        <v xml:space="preserve"> </v>
      </c>
      <c r="E45" t="str">
        <f>VLOOKUP(A45,PartSpecs!A:Z,4,FALSE)</f>
        <v xml:space="preserve"> </v>
      </c>
      <c r="F45" t="str">
        <f>VLOOKUP(A45,PartSpecs!A:Z,5,FALSE)</f>
        <v>Or make your own!  [http://cdaringe.net/blurb/cossel-fan-extension-board/ cdaringe opto-extension board]</v>
      </c>
      <c r="G45" t="str">
        <f>VLOOKUP(A45,PartSpecs!A:Z,6,FALSE)</f>
        <v>[http://www.geeetech.com/wiki/index.php/Reprap_Ramps1.4_RRD_Fan_Extender]</v>
      </c>
    </row>
    <row r="46" spans="1:7" x14ac:dyDescent="0.25">
      <c r="A46" s="4" t="s">
        <v>24</v>
      </c>
      <c r="B46" s="5">
        <v>1</v>
      </c>
      <c r="C46" t="str">
        <f>VLOOKUP(A46,PartSpecs!A:Z,2,FALSE)</f>
        <v>Ultimachine</v>
      </c>
      <c r="D46" t="str">
        <f>VLOOKUP(A46,PartSpecs!A:Z,3,FALSE)</f>
        <v xml:space="preserve"> </v>
      </c>
      <c r="E46" t="str">
        <f>VLOOKUP(A46,PartSpecs!A:Z,4,FALSE)</f>
        <v xml:space="preserve"> </v>
      </c>
      <c r="F46" t="str">
        <f>VLOOKUP(A46,PartSpecs!A:Z,5,FALSE)</f>
        <v>Prusa Heater</v>
      </c>
      <c r="G46" t="str">
        <f>VLOOKUP(A46,PartSpecs!A:Z,6,FALSE)</f>
        <v>[https://ultimachine.com/content/prusa-pcb-heated-bed]</v>
      </c>
    </row>
    <row r="47" spans="1:7" x14ac:dyDescent="0.25">
      <c r="A47" s="4" t="s">
        <v>47</v>
      </c>
      <c r="B47" s="5">
        <v>3</v>
      </c>
      <c r="C47" t="str">
        <f>VLOOKUP(A47,PartSpecs!A:Z,2,FALSE)</f>
        <v>Ultimachine</v>
      </c>
      <c r="D47" t="str">
        <f>VLOOKUP(A47,PartSpecs!A:Z,3,FALSE)</f>
        <v xml:space="preserve"> </v>
      </c>
      <c r="E47" t="str">
        <f>VLOOKUP(A47,PartSpecs!A:Z,4,FALSE)</f>
        <v xml:space="preserve"> </v>
      </c>
      <c r="F47" t="str">
        <f>VLOOKUP(A47,PartSpecs!A:Z,5,FALSE)</f>
        <v>Std opto's</v>
      </c>
      <c r="G47" t="str">
        <f>VLOOKUP(A47,PartSpecs!A:Z,6,FALSE)</f>
        <v>[https://ultimachine.com/oek]</v>
      </c>
    </row>
    <row r="48" spans="1:7" x14ac:dyDescent="0.25">
      <c r="A48" s="4" t="s">
        <v>84</v>
      </c>
      <c r="B48" s="5">
        <v>1</v>
      </c>
      <c r="C48" t="str">
        <f>VLOOKUP(A48,PartSpecs!A:Z,2,FALSE)</f>
        <v>Ultimachine</v>
      </c>
      <c r="D48" t="str">
        <f>VLOOKUP(A48,PartSpecs!A:Z,3,FALSE)</f>
        <v xml:space="preserve"> </v>
      </c>
      <c r="E48" t="str">
        <f>VLOOKUP(A48,PartSpecs!A:Z,4,FALSE)</f>
        <v xml:space="preserve"> </v>
      </c>
      <c r="F48" t="str">
        <f>VLOOKUP(A48,PartSpecs!A:Z,5,FALSE)</f>
        <v>Single Z, not dual Z configuration.</v>
      </c>
      <c r="G48" t="str">
        <f>VLOOKUP(A48,PartSpecs!A:Z,6,FALSE)</f>
        <v>[https://ultimachine.com/ramps-pre-assembled-kit-complete]</v>
      </c>
    </row>
    <row r="49" spans="1:9" x14ac:dyDescent="0.25">
      <c r="A49" s="4" t="s">
        <v>220</v>
      </c>
      <c r="B49" s="5">
        <v>1</v>
      </c>
      <c r="C49" t="str">
        <f>VLOOKUP(A49,PartSpecs!A:Z,2,FALSE)</f>
        <v>Geeetech</v>
      </c>
      <c r="D49" t="str">
        <f>VLOOKUP(A49,PartSpecs!A:Z,3,FALSE)</f>
        <v xml:space="preserve"> </v>
      </c>
      <c r="E49" t="str">
        <f>VLOOKUP(A49,PartSpecs!A:Z,4,FALSE)</f>
        <v xml:space="preserve"> </v>
      </c>
      <c r="F49" t="str">
        <f>VLOOKUP(A49,PartSpecs!A:Z,5,FALSE)</f>
        <v>Strongly recommended as pausing issues occur when printing via USB</v>
      </c>
      <c r="G49" t="str">
        <f>VLOOKUP(A49,PartSpecs!A:Z,6,FALSE)</f>
        <v>[http://www.geeetech.com/wiki/index.php/SD_for_RAMPS]</v>
      </c>
    </row>
    <row r="50" spans="1:9" x14ac:dyDescent="0.25">
      <c r="A50" s="4" t="s">
        <v>49</v>
      </c>
      <c r="B50" s="5">
        <v>1</v>
      </c>
      <c r="C50" t="str">
        <f>VLOOKUP(A50,PartSpecs!A:Z,2,FALSE)</f>
        <v>Thermaltake</v>
      </c>
      <c r="D50" t="str">
        <f>VLOOKUP(A50,PartSpecs!A:Z,3,FALSE)</f>
        <v>TR2 TR-700</v>
      </c>
      <c r="E50" t="str">
        <f>VLOOKUP(A50,PartSpecs!A:Z,4,FALSE)</f>
        <v>N82E16817153167</v>
      </c>
      <c r="F50" t="str">
        <f>VLOOKUP(A50,PartSpecs!A:Z,5,FALSE)</f>
        <v>ATX PS.  Quiet, reliable.</v>
      </c>
      <c r="G50" t="str">
        <f>VLOOKUP(A50,PartSpecs!A:Z,6,FALSE)</f>
        <v>[http://www.newegg.com/Product/Product.aspx?Item=N82E16817153167]</v>
      </c>
    </row>
    <row r="51" spans="1:9" x14ac:dyDescent="0.25">
      <c r="A51" s="4" t="s">
        <v>20</v>
      </c>
      <c r="B51" s="5">
        <v>6</v>
      </c>
      <c r="C51" t="str">
        <f>VLOOKUP(A51,PartSpecs!A:Z,2,FALSE)</f>
        <v>Hobby-Lobby</v>
      </c>
      <c r="D51" t="str">
        <f>VLOOKUP(A51,PartSpecs!A:Z,3,FALSE)</f>
        <v xml:space="preserve"> </v>
      </c>
      <c r="E51" t="str">
        <f>VLOOKUP(A51,PartSpecs!A:Z,4,FALSE)</f>
        <v>GXT5540</v>
      </c>
      <c r="F51" t="str">
        <f>VLOOKUP(A51,PartSpecs!A:Z,5,FALSE)</f>
        <v>Must be cut to size. 3x 1000 rods will satisfy a std build</v>
      </c>
      <c r="G51" t="str">
        <f>VLOOKUP(A51,PartSpecs!A:Z,6,FALSE)</f>
        <v>[http://www.hobbyexpress.com/carbon_fiber_tube_5.5_x_4.0_x_1000_mm_24247_prd1.htm?pSearchQueryId=4680220]</v>
      </c>
    </row>
    <row r="52" spans="1:9" x14ac:dyDescent="0.25">
      <c r="A52" s="4" t="s">
        <v>21</v>
      </c>
      <c r="B52" s="5">
        <v>12</v>
      </c>
      <c r="C52" t="str">
        <f>VLOOKUP(A52,PartSpecs!A:Z,2,FALSE)</f>
        <v>Amazon</v>
      </c>
      <c r="D52">
        <f>VLOOKUP(A52,PartSpecs!A:Z,3,FALSE)</f>
        <v>5347</v>
      </c>
      <c r="E52" t="str">
        <f>VLOOKUP(A52,PartSpecs!A:Z,4,FALSE)</f>
        <v xml:space="preserve"> </v>
      </c>
      <c r="F52" t="str">
        <f>VLOOKUP(A52,PartSpecs!A:Z,5,FALSE)</f>
        <v>4mm OD receptable, 3mm thru-hole ball-ends</v>
      </c>
      <c r="G52" t="str">
        <f>VLOOKUP(A52,PartSpecs!A:Z,6,FALSE)</f>
        <v>[http://www.amazon.com/Traxxas-5347-Hollow-Balls-Large/dp/B000BOLVJY]</v>
      </c>
    </row>
    <row r="53" spans="1:9" x14ac:dyDescent="0.25">
      <c r="A53" s="4" t="s">
        <v>74</v>
      </c>
      <c r="B53" s="5">
        <v>1</v>
      </c>
      <c r="C53" t="str">
        <f>VLOOKUP(A53,PartSpecs!A:Z,2,FALSE)</f>
        <v>Grainger</v>
      </c>
      <c r="D53" t="str">
        <f>VLOOKUP(A53,PartSpecs!A:Z,3,FALSE)</f>
        <v xml:space="preserve"> </v>
      </c>
      <c r="E53" t="str">
        <f>VLOOKUP(A53,PartSpecs!A:Z,4,FALSE)</f>
        <v xml:space="preserve"> </v>
      </c>
      <c r="F53" t="str">
        <f>VLOOKUP(A53,PartSpecs!A:Z,5,FALSE)</f>
        <v>5/16" rod is ~8mm too.  You can buy 5/16" rod at hardware stores (i.e. Home Depot) for a couple of bucks.</v>
      </c>
      <c r="G53" t="str">
        <f>VLOOKUP(A53,PartSpecs!A:Z,6,FALSE)</f>
        <v>[http://reprap.org/wiki/Threaded_rod]</v>
      </c>
    </row>
    <row r="54" spans="1:9" x14ac:dyDescent="0.25">
      <c r="A54" s="4" t="s">
        <v>3</v>
      </c>
      <c r="B54" s="5">
        <v>3</v>
      </c>
      <c r="C54" t="str">
        <f>VLOOKUP(A54,PartSpecs!A:Z,2,FALSE)</f>
        <v>RP</v>
      </c>
      <c r="D54" t="str">
        <f>VLOOKUP(A54,PartSpecs!A:Z,3,FALSE)</f>
        <v>RP</v>
      </c>
      <c r="E54" t="str">
        <f>VLOOKUP(A54,PartSpecs!A:Z,4,FALSE)</f>
        <v>RP</v>
      </c>
      <c r="F54" t="str">
        <f>VLOOKUP(A54,PartSpecs!A:Z,5,FALSE)</f>
        <v>Files on GitHub</v>
      </c>
      <c r="G54" t="str">
        <f>VLOOKUP(A54,PartSpecs!A:Z,6,FALSE)</f>
        <v/>
      </c>
      <c r="I54" t="s">
        <v>281</v>
      </c>
    </row>
    <row r="55" spans="1:9" x14ac:dyDescent="0.25">
      <c r="A55" s="4" t="s">
        <v>29</v>
      </c>
      <c r="B55" s="5">
        <v>3</v>
      </c>
      <c r="C55" t="str">
        <f>VLOOKUP(A55,PartSpecs!A:Z,2,FALSE)</f>
        <v>RP</v>
      </c>
      <c r="D55" t="str">
        <f>VLOOKUP(A55,PartSpecs!A:Z,3,FALSE)</f>
        <v>RP</v>
      </c>
      <c r="E55" t="str">
        <f>VLOOKUP(A55,PartSpecs!A:Z,4,FALSE)</f>
        <v>RP</v>
      </c>
      <c r="F55" t="str">
        <f>VLOOKUP(A55,PartSpecs!A:Z,5,FALSE)</f>
        <v>Files on GitHub</v>
      </c>
      <c r="G55" t="str">
        <f>VLOOKUP(A55,PartSpecs!A:Z,6,FALSE)</f>
        <v/>
      </c>
      <c r="I55" t="s">
        <v>281</v>
      </c>
    </row>
    <row r="56" spans="1:9" x14ac:dyDescent="0.25">
      <c r="A56" s="4" t="s">
        <v>267</v>
      </c>
      <c r="B56" s="5">
        <v>3</v>
      </c>
      <c r="C56" t="str">
        <f>VLOOKUP(A56,PartSpecs!A:Z,2,FALSE)</f>
        <v>RP</v>
      </c>
      <c r="D56" t="str">
        <f>VLOOKUP(A56,PartSpecs!A:Z,3,FALSE)</f>
        <v>RP</v>
      </c>
      <c r="E56" t="str">
        <f>VLOOKUP(A56,PartSpecs!A:Z,4,FALSE)</f>
        <v>RP</v>
      </c>
      <c r="F56" t="str">
        <f>VLOOKUP(A56,PartSpecs!A:Z,5,FALSE)</f>
        <v>Files on GitHub</v>
      </c>
      <c r="G56" t="str">
        <f>VLOOKUP(A56,PartSpecs!A:Z,6,FALSE)</f>
        <v/>
      </c>
      <c r="I56" t="s">
        <v>281</v>
      </c>
    </row>
    <row r="57" spans="1:9" x14ac:dyDescent="0.25">
      <c r="A57" s="4" t="s">
        <v>75</v>
      </c>
      <c r="B57" s="5">
        <v>3</v>
      </c>
      <c r="C57" t="str">
        <f>VLOOKUP(A57,PartSpecs!A:Z,2,FALSE)</f>
        <v>RP</v>
      </c>
      <c r="D57" t="str">
        <f>VLOOKUP(A57,PartSpecs!A:Z,3,FALSE)</f>
        <v>RP</v>
      </c>
      <c r="E57" t="str">
        <f>VLOOKUP(A57,PartSpecs!A:Z,4,FALSE)</f>
        <v>RP</v>
      </c>
      <c r="F57" t="str">
        <f>VLOOKUP(A57,PartSpecs!A:Z,5,FALSE)</f>
        <v>Files on GitHub</v>
      </c>
      <c r="G57" t="str">
        <f>VLOOKUP(A57,PartSpecs!A:Z,6,FALSE)</f>
        <v/>
      </c>
      <c r="I57" t="s">
        <v>281</v>
      </c>
    </row>
    <row r="58" spans="1:9" x14ac:dyDescent="0.25">
      <c r="A58" s="4" t="s">
        <v>88</v>
      </c>
      <c r="B58" s="5">
        <v>4</v>
      </c>
      <c r="C58" t="str">
        <f>VLOOKUP(A58,PartSpecs!A:Z,2,FALSE)</f>
        <v>RP</v>
      </c>
      <c r="D58" t="str">
        <f>VLOOKUP(A58,PartSpecs!A:Z,3,FALSE)</f>
        <v>RP</v>
      </c>
      <c r="E58" t="str">
        <f>VLOOKUP(A58,PartSpecs!A:Z,4,FALSE)</f>
        <v>RP</v>
      </c>
      <c r="F58" t="str">
        <f>VLOOKUP(A58,PartSpecs!A:Z,5,FALSE)</f>
        <v>Files on GitHub</v>
      </c>
      <c r="G58" t="str">
        <f>VLOOKUP(A58,PartSpecs!A:Z,6,FALSE)</f>
        <v/>
      </c>
      <c r="H58">
        <v>1</v>
      </c>
    </row>
    <row r="59" spans="1:9" x14ac:dyDescent="0.25">
      <c r="A59" s="4" t="s">
        <v>89</v>
      </c>
      <c r="B59" s="5">
        <v>4</v>
      </c>
      <c r="C59" t="str">
        <f>VLOOKUP(A59,PartSpecs!A:Z,2,FALSE)</f>
        <v>RP</v>
      </c>
      <c r="D59" t="str">
        <f>VLOOKUP(A59,PartSpecs!A:Z,3,FALSE)</f>
        <v>RP</v>
      </c>
      <c r="E59" t="str">
        <f>VLOOKUP(A59,PartSpecs!A:Z,4,FALSE)</f>
        <v>RP</v>
      </c>
      <c r="F59" t="str">
        <f>VLOOKUP(A59,PartSpecs!A:Z,5,FALSE)</f>
        <v>Files on GitHub</v>
      </c>
      <c r="G59" t="str">
        <f>VLOOKUP(A59,PartSpecs!A:Z,6,FALSE)</f>
        <v/>
      </c>
      <c r="H59">
        <v>1</v>
      </c>
    </row>
    <row r="60" spans="1:9" x14ac:dyDescent="0.25">
      <c r="A60" s="4" t="s">
        <v>125</v>
      </c>
      <c r="B60" s="5">
        <v>2</v>
      </c>
      <c r="C60" t="str">
        <f>VLOOKUP(A60,PartSpecs!A:Z,2,FALSE)</f>
        <v>RP</v>
      </c>
      <c r="D60" t="str">
        <f>VLOOKUP(A60,PartSpecs!A:Z,3,FALSE)</f>
        <v>RP</v>
      </c>
      <c r="E60" t="str">
        <f>VLOOKUP(A60,PartSpecs!A:Z,4,FALSE)</f>
        <v>RP</v>
      </c>
      <c r="F60" t="str">
        <f>VLOOKUP(A60,PartSpecs!A:Z,5,FALSE)</f>
        <v>Files on GitHub</v>
      </c>
      <c r="G60" t="str">
        <f>VLOOKUP(A60,PartSpecs!A:Z,6,FALSE)</f>
        <v/>
      </c>
      <c r="H60">
        <f>B60</f>
        <v>2</v>
      </c>
    </row>
    <row r="61" spans="1:9" x14ac:dyDescent="0.25">
      <c r="A61" s="4" t="s">
        <v>85</v>
      </c>
      <c r="B61" s="5">
        <v>1</v>
      </c>
      <c r="C61" t="str">
        <f>VLOOKUP(A61,PartSpecs!A:Z,2,FALSE)</f>
        <v>RP</v>
      </c>
      <c r="D61" t="str">
        <f>VLOOKUP(A61,PartSpecs!A:Z,3,FALSE)</f>
        <v>RP</v>
      </c>
      <c r="E61" t="str">
        <f>VLOOKUP(A61,PartSpecs!A:Z,4,FALSE)</f>
        <v>RP</v>
      </c>
      <c r="F61" t="str">
        <f>VLOOKUP(A61,PartSpecs!A:Z,5,FALSE)</f>
        <v>Files on GitHub</v>
      </c>
      <c r="G61" t="str">
        <f>VLOOKUP(A61,PartSpecs!A:Z,6,FALSE)</f>
        <v/>
      </c>
      <c r="H61">
        <f t="shared" ref="H61:H76" si="0">B61</f>
        <v>1</v>
      </c>
    </row>
    <row r="62" spans="1:9" x14ac:dyDescent="0.25">
      <c r="A62" s="4" t="s">
        <v>277</v>
      </c>
      <c r="B62" s="5">
        <v>1</v>
      </c>
      <c r="C62" t="str">
        <f>VLOOKUP(A62,PartSpecs!A:Z,2,FALSE)</f>
        <v>RP</v>
      </c>
      <c r="D62" t="str">
        <f>VLOOKUP(A62,PartSpecs!A:Z,3,FALSE)</f>
        <v>RP</v>
      </c>
      <c r="E62" t="str">
        <f>VLOOKUP(A62,PartSpecs!A:Z,4,FALSE)</f>
        <v>RP</v>
      </c>
      <c r="F62" t="str">
        <f>VLOOKUP(A62,PartSpecs!A:Z,5,FALSE)</f>
        <v>Files on GitHub</v>
      </c>
      <c r="G62" t="str">
        <f>VLOOKUP(A62,PartSpecs!A:Z,6,FALSE)</f>
        <v/>
      </c>
      <c r="H62">
        <f t="shared" si="0"/>
        <v>1</v>
      </c>
    </row>
    <row r="63" spans="1:9" x14ac:dyDescent="0.25">
      <c r="A63" s="4" t="s">
        <v>278</v>
      </c>
      <c r="B63" s="5">
        <v>1</v>
      </c>
      <c r="C63" t="str">
        <f>VLOOKUP(A63,PartSpecs!A:Z,2,FALSE)</f>
        <v>RP</v>
      </c>
      <c r="D63" t="str">
        <f>VLOOKUP(A63,PartSpecs!A:Z,3,FALSE)</f>
        <v>RP</v>
      </c>
      <c r="E63" t="str">
        <f>VLOOKUP(A63,PartSpecs!A:Z,4,FALSE)</f>
        <v>RP</v>
      </c>
      <c r="F63" t="str">
        <f>VLOOKUP(A63,PartSpecs!A:Z,5,FALSE)</f>
        <v>Files on GitHub</v>
      </c>
      <c r="G63" t="str">
        <f>VLOOKUP(A63,PartSpecs!A:Z,6,FALSE)</f>
        <v/>
      </c>
      <c r="H63">
        <f t="shared" si="0"/>
        <v>1</v>
      </c>
    </row>
    <row r="64" spans="1:9" x14ac:dyDescent="0.25">
      <c r="A64" s="4" t="s">
        <v>279</v>
      </c>
      <c r="B64" s="5">
        <v>1</v>
      </c>
      <c r="C64" t="str">
        <f>VLOOKUP(A64,PartSpecs!A:Z,2,FALSE)</f>
        <v>RP</v>
      </c>
      <c r="D64" t="str">
        <f>VLOOKUP(A64,PartSpecs!A:Z,3,FALSE)</f>
        <v>RP</v>
      </c>
      <c r="E64" t="str">
        <f>VLOOKUP(A64,PartSpecs!A:Z,4,FALSE)</f>
        <v>RP</v>
      </c>
      <c r="F64" t="str">
        <f>VLOOKUP(A64,PartSpecs!A:Z,5,FALSE)</f>
        <v>Files on GitHub</v>
      </c>
      <c r="G64" t="str">
        <f>VLOOKUP(A64,PartSpecs!A:Z,6,FALSE)</f>
        <v/>
      </c>
      <c r="H64">
        <f t="shared" si="0"/>
        <v>1</v>
      </c>
    </row>
    <row r="65" spans="1:8" x14ac:dyDescent="0.25">
      <c r="A65" s="4" t="s">
        <v>58</v>
      </c>
      <c r="B65" s="5">
        <v>1</v>
      </c>
      <c r="C65" t="str">
        <f>VLOOKUP(A65,PartSpecs!A:Z,2,FALSE)</f>
        <v>RP</v>
      </c>
      <c r="D65" t="str">
        <f>VLOOKUP(A65,PartSpecs!A:Z,3,FALSE)</f>
        <v>RP</v>
      </c>
      <c r="E65" t="str">
        <f>VLOOKUP(A65,PartSpecs!A:Z,4,FALSE)</f>
        <v>RP</v>
      </c>
      <c r="F65" t="str">
        <f>VLOOKUP(A65,PartSpecs!A:Z,5,FALSE)</f>
        <v>Files on GitHub</v>
      </c>
      <c r="G65" t="str">
        <f>VLOOKUP(A65,PartSpecs!A:Z,6,FALSE)</f>
        <v/>
      </c>
      <c r="H65">
        <f t="shared" si="0"/>
        <v>1</v>
      </c>
    </row>
    <row r="66" spans="1:8" x14ac:dyDescent="0.25">
      <c r="A66" s="4" t="s">
        <v>57</v>
      </c>
      <c r="B66" s="5">
        <v>1</v>
      </c>
      <c r="C66" t="str">
        <f>VLOOKUP(A66,PartSpecs!A:Z,2,FALSE)</f>
        <v>RP</v>
      </c>
      <c r="D66" t="str">
        <f>VLOOKUP(A66,PartSpecs!A:Z,3,FALSE)</f>
        <v>RP</v>
      </c>
      <c r="E66" t="str">
        <f>VLOOKUP(A66,PartSpecs!A:Z,4,FALSE)</f>
        <v>RP</v>
      </c>
      <c r="F66" t="str">
        <f>VLOOKUP(A66,PartSpecs!A:Z,5,FALSE)</f>
        <v>Files on GitHub</v>
      </c>
      <c r="G66" t="str">
        <f>VLOOKUP(A66,PartSpecs!A:Z,6,FALSE)</f>
        <v/>
      </c>
      <c r="H66">
        <f t="shared" si="0"/>
        <v>1</v>
      </c>
    </row>
    <row r="67" spans="1:8" x14ac:dyDescent="0.25">
      <c r="A67" s="4" t="s">
        <v>13</v>
      </c>
      <c r="B67" s="5">
        <v>3</v>
      </c>
      <c r="C67" t="str">
        <f>VLOOKUP(A67,PartSpecs!A:Z,2,FALSE)</f>
        <v>RP</v>
      </c>
      <c r="D67" t="str">
        <f>VLOOKUP(A67,PartSpecs!A:Z,3,FALSE)</f>
        <v>RP</v>
      </c>
      <c r="E67" t="str">
        <f>VLOOKUP(A67,PartSpecs!A:Z,4,FALSE)</f>
        <v>RP</v>
      </c>
      <c r="F67" t="str">
        <f>VLOOKUP(A67,PartSpecs!A:Z,5,FALSE)</f>
        <v>Files on GitHub</v>
      </c>
      <c r="G67" t="str">
        <f>VLOOKUP(A67,PartSpecs!A:Z,6,FALSE)</f>
        <v/>
      </c>
      <c r="H67">
        <f t="shared" si="0"/>
        <v>3</v>
      </c>
    </row>
    <row r="68" spans="1:8" x14ac:dyDescent="0.25">
      <c r="A68" s="4" t="s">
        <v>66</v>
      </c>
      <c r="B68" s="5">
        <v>1</v>
      </c>
      <c r="C68" t="str">
        <f>VLOOKUP(A68,PartSpecs!A:Z,2,FALSE)</f>
        <v>RP</v>
      </c>
      <c r="D68" t="str">
        <f>VLOOKUP(A68,PartSpecs!A:Z,3,FALSE)</f>
        <v>RP</v>
      </c>
      <c r="E68" t="str">
        <f>VLOOKUP(A68,PartSpecs!A:Z,4,FALSE)</f>
        <v>RP</v>
      </c>
      <c r="F68" t="str">
        <f>VLOOKUP(A68,PartSpecs!A:Z,5,FALSE)</f>
        <v>Files on GitHub</v>
      </c>
      <c r="G68" t="str">
        <f>VLOOKUP(A68,PartSpecs!A:Z,6,FALSE)</f>
        <v/>
      </c>
      <c r="H68">
        <f t="shared" si="0"/>
        <v>1</v>
      </c>
    </row>
    <row r="69" spans="1:8" x14ac:dyDescent="0.25">
      <c r="A69" s="4" t="s">
        <v>68</v>
      </c>
      <c r="B69" s="5">
        <v>2</v>
      </c>
      <c r="C69" t="str">
        <f>VLOOKUP(A69,PartSpecs!A:Z,2,FALSE)</f>
        <v>RP</v>
      </c>
      <c r="D69" t="str">
        <f>VLOOKUP(A69,PartSpecs!A:Z,3,FALSE)</f>
        <v>RP</v>
      </c>
      <c r="E69" t="str">
        <f>VLOOKUP(A69,PartSpecs!A:Z,4,FALSE)</f>
        <v>RP</v>
      </c>
      <c r="F69" t="str">
        <f>VLOOKUP(A69,PartSpecs!A:Z,5,FALSE)</f>
        <v>Files on GitHub</v>
      </c>
      <c r="G69" t="str">
        <f>VLOOKUP(A69,PartSpecs!A:Z,6,FALSE)</f>
        <v/>
      </c>
      <c r="H69">
        <f t="shared" si="0"/>
        <v>2</v>
      </c>
    </row>
    <row r="70" spans="1:8" x14ac:dyDescent="0.25">
      <c r="A70" s="4" t="s">
        <v>73</v>
      </c>
      <c r="B70" s="5">
        <v>1</v>
      </c>
      <c r="C70" t="str">
        <f>VLOOKUP(A70,PartSpecs!A:Z,2,FALSE)</f>
        <v>RP</v>
      </c>
      <c r="D70" t="str">
        <f>VLOOKUP(A70,PartSpecs!A:Z,3,FALSE)</f>
        <v>RP</v>
      </c>
      <c r="E70" t="str">
        <f>VLOOKUP(A70,PartSpecs!A:Z,4,FALSE)</f>
        <v>RP</v>
      </c>
      <c r="F70" t="str">
        <f>VLOOKUP(A70,PartSpecs!A:Z,5,FALSE)</f>
        <v>Files on GitHub</v>
      </c>
      <c r="G70" t="str">
        <f>VLOOKUP(A70,PartSpecs!A:Z,6,FALSE)</f>
        <v/>
      </c>
      <c r="H70">
        <f t="shared" si="0"/>
        <v>1</v>
      </c>
    </row>
    <row r="71" spans="1:8" x14ac:dyDescent="0.25">
      <c r="A71" s="4" t="s">
        <v>67</v>
      </c>
      <c r="B71" s="5">
        <v>2</v>
      </c>
      <c r="C71" t="str">
        <f>VLOOKUP(A71,PartSpecs!A:Z,2,FALSE)</f>
        <v>RP</v>
      </c>
      <c r="D71" t="str">
        <f>VLOOKUP(A71,PartSpecs!A:Z,3,FALSE)</f>
        <v>RP</v>
      </c>
      <c r="E71" t="str">
        <f>VLOOKUP(A71,PartSpecs!A:Z,4,FALSE)</f>
        <v>RP</v>
      </c>
      <c r="F71" t="str">
        <f>VLOOKUP(A71,PartSpecs!A:Z,5,FALSE)</f>
        <v>Files on GitHub</v>
      </c>
      <c r="G71" t="str">
        <f>VLOOKUP(A71,PartSpecs!A:Z,6,FALSE)</f>
        <v/>
      </c>
      <c r="H71">
        <f t="shared" si="0"/>
        <v>2</v>
      </c>
    </row>
    <row r="72" spans="1:8" x14ac:dyDescent="0.25">
      <c r="A72" s="4" t="s">
        <v>103</v>
      </c>
      <c r="B72" s="5">
        <v>1</v>
      </c>
      <c r="C72" t="str">
        <f>VLOOKUP(A72,PartSpecs!A:Z,2,FALSE)</f>
        <v>RP</v>
      </c>
      <c r="D72" t="str">
        <f>VLOOKUP(A72,PartSpecs!A:Z,3,FALSE)</f>
        <v>RP</v>
      </c>
      <c r="E72" t="str">
        <f>VLOOKUP(A72,PartSpecs!A:Z,4,FALSE)</f>
        <v>RP</v>
      </c>
      <c r="F72" t="str">
        <f>VLOOKUP(A72,PartSpecs!A:Z,5,FALSE)</f>
        <v>Files on GitHub</v>
      </c>
      <c r="G72" t="str">
        <f>VLOOKUP(A72,PartSpecs!A:Z,6,FALSE)</f>
        <v/>
      </c>
      <c r="H72">
        <f t="shared" si="0"/>
        <v>1</v>
      </c>
    </row>
    <row r="73" spans="1:8" x14ac:dyDescent="0.25">
      <c r="A73" s="4" t="s">
        <v>273</v>
      </c>
      <c r="B73" s="5">
        <v>1</v>
      </c>
      <c r="C73" t="str">
        <f>VLOOKUP(A73,PartSpecs!A:Z,2,FALSE)</f>
        <v>RP</v>
      </c>
      <c r="D73" t="str">
        <f>VLOOKUP(A73,PartSpecs!A:Z,3,FALSE)</f>
        <v>RP</v>
      </c>
      <c r="E73" t="str">
        <f>VLOOKUP(A73,PartSpecs!A:Z,4,FALSE)</f>
        <v>RP</v>
      </c>
      <c r="F73" t="str">
        <f>VLOOKUP(A73,PartSpecs!A:Z,5,FALSE)</f>
        <v>Files on GitHub</v>
      </c>
      <c r="G73" t="str">
        <f>VLOOKUP(A73,PartSpecs!A:Z,6,FALSE)</f>
        <v/>
      </c>
      <c r="H73">
        <f t="shared" si="0"/>
        <v>1</v>
      </c>
    </row>
    <row r="74" spans="1:8" x14ac:dyDescent="0.25">
      <c r="A74" s="4" t="s">
        <v>45</v>
      </c>
      <c r="B74" s="5">
        <v>3</v>
      </c>
      <c r="C74" t="str">
        <f>VLOOKUP(A74,PartSpecs!A:Z,2,FALSE)</f>
        <v>RP</v>
      </c>
      <c r="D74" t="str">
        <f>VLOOKUP(A74,PartSpecs!A:Z,3,FALSE)</f>
        <v>RP</v>
      </c>
      <c r="E74" t="str">
        <f>VLOOKUP(A74,PartSpecs!A:Z,4,FALSE)</f>
        <v>RP</v>
      </c>
      <c r="F74" t="str">
        <f>VLOOKUP(A74,PartSpecs!A:Z,5,FALSE)</f>
        <v>Files on GitHub</v>
      </c>
      <c r="G74" t="str">
        <f>VLOOKUP(A74,PartSpecs!A:Z,6,FALSE)</f>
        <v/>
      </c>
    </row>
    <row r="75" spans="1:8" x14ac:dyDescent="0.25">
      <c r="A75" s="4" t="s">
        <v>9</v>
      </c>
      <c r="B75" s="5">
        <v>3</v>
      </c>
      <c r="C75" t="str">
        <f>VLOOKUP(A75,PartSpecs!A:Z,2,FALSE)</f>
        <v>RP</v>
      </c>
      <c r="D75" t="str">
        <f>VLOOKUP(A75,PartSpecs!A:Z,3,FALSE)</f>
        <v>RP</v>
      </c>
      <c r="E75" t="str">
        <f>VLOOKUP(A75,PartSpecs!A:Z,4,FALSE)</f>
        <v>RP</v>
      </c>
      <c r="F75" t="str">
        <f>VLOOKUP(A75,PartSpecs!A:Z,5,FALSE)</f>
        <v>Files on GitHub</v>
      </c>
      <c r="G75" t="str">
        <f>VLOOKUP(A75,PartSpecs!A:Z,6,FALSE)</f>
        <v/>
      </c>
      <c r="H75">
        <f t="shared" si="0"/>
        <v>3</v>
      </c>
    </row>
    <row r="76" spans="1:8" x14ac:dyDescent="0.25">
      <c r="A76" s="4" t="s">
        <v>38</v>
      </c>
      <c r="B76" s="5">
        <v>3</v>
      </c>
      <c r="C76" t="str">
        <f>VLOOKUP(A76,PartSpecs!A:Z,2,FALSE)</f>
        <v>RP</v>
      </c>
      <c r="D76" t="str">
        <f>VLOOKUP(A76,PartSpecs!A:Z,3,FALSE)</f>
        <v>RP</v>
      </c>
      <c r="E76" t="str">
        <f>VLOOKUP(A76,PartSpecs!A:Z,4,FALSE)</f>
        <v>RP</v>
      </c>
      <c r="F76" t="str">
        <f>VLOOKUP(A76,PartSpecs!A:Z,5,FALSE)</f>
        <v>Files on GitHub</v>
      </c>
      <c r="G76" t="str">
        <f>VLOOKUP(A76,PartSpecs!A:Z,6,FALSE)</f>
        <v/>
      </c>
      <c r="H76">
        <f t="shared" si="0"/>
        <v>3</v>
      </c>
    </row>
    <row r="77" spans="1:8" x14ac:dyDescent="0.25">
      <c r="A77" s="4" t="s">
        <v>33</v>
      </c>
      <c r="B77" s="5">
        <v>1</v>
      </c>
      <c r="C77" t="str">
        <f>VLOOKUP(A77,PartSpecs!A:Z,2,FALSE)</f>
        <v>Fastenal</v>
      </c>
      <c r="D77" t="str">
        <f>VLOOKUP(A77,PartSpecs!A:Z,3,FALSE)</f>
        <v xml:space="preserve"> </v>
      </c>
      <c r="E77" t="str">
        <f>VLOOKUP(A77,PartSpecs!A:Z,4,FALSE)</f>
        <v xml:space="preserve"> </v>
      </c>
      <c r="F77" t="str">
        <f>VLOOKUP(A77,PartSpecs!A:Z,5,FALSE)</f>
        <v>Thermal switch is not required, but strongly recommended for safety</v>
      </c>
      <c r="G77" t="str">
        <f>VLOOKUP(A77,PartSpecs!A:Z,6,FALSE)</f>
        <v/>
      </c>
    </row>
    <row r="78" spans="1:8" x14ac:dyDescent="0.25">
      <c r="A78" s="4" t="s">
        <v>61</v>
      </c>
      <c r="B78" s="5">
        <v>8</v>
      </c>
      <c r="C78" t="str">
        <f>VLOOKUP(A78,PartSpecs!A:Z,2,FALSE)</f>
        <v>Fastenal</v>
      </c>
      <c r="D78" t="str">
        <f>VLOOKUP(A78,PartSpecs!A:Z,3,FALSE)</f>
        <v xml:space="preserve"> </v>
      </c>
      <c r="E78" t="str">
        <f>VLOOKUP(A78,PartSpecs!A:Z,4,FALSE)</f>
        <v xml:space="preserve"> </v>
      </c>
      <c r="F78" t="str">
        <f>VLOOKUP(A78,PartSpecs!A:Z,5,FALSE)</f>
        <v xml:space="preserve">Pan head &amp; SST preferred when applicable. </v>
      </c>
      <c r="G78" t="str">
        <f>VLOOKUP(A78,PartSpecs!A:Z,6,FALSE)</f>
        <v/>
      </c>
    </row>
    <row r="79" spans="1:8" x14ac:dyDescent="0.25">
      <c r="A79" s="4" t="s">
        <v>46</v>
      </c>
      <c r="B79" s="5">
        <v>18</v>
      </c>
      <c r="C79" t="str">
        <f>VLOOKUP(A79,PartSpecs!A:Z,2,FALSE)</f>
        <v>Fastenal</v>
      </c>
      <c r="D79" t="str">
        <f>VLOOKUP(A79,PartSpecs!A:Z,3,FALSE)</f>
        <v xml:space="preserve"> </v>
      </c>
      <c r="E79" t="str">
        <f>VLOOKUP(A79,PartSpecs!A:Z,4,FALSE)</f>
        <v xml:space="preserve"> </v>
      </c>
      <c r="F79" t="str">
        <f>VLOOKUP(A79,PartSpecs!A:Z,5,FALSE)</f>
        <v xml:space="preserve">Pan head &amp; SST preferred when applicable. </v>
      </c>
      <c r="G79" t="str">
        <f>VLOOKUP(A79,PartSpecs!A:Z,6,FALSE)</f>
        <v/>
      </c>
    </row>
    <row r="80" spans="1:8" x14ac:dyDescent="0.25">
      <c r="A80" s="4" t="s">
        <v>104</v>
      </c>
      <c r="B80" s="5">
        <v>14</v>
      </c>
      <c r="C80" t="str">
        <f>VLOOKUP(A80,PartSpecs!A:Z,2,FALSE)</f>
        <v>Fastenal</v>
      </c>
      <c r="D80" t="str">
        <f>VLOOKUP(A80,PartSpecs!A:Z,3,FALSE)</f>
        <v xml:space="preserve"> </v>
      </c>
      <c r="E80" t="str">
        <f>VLOOKUP(A80,PartSpecs!A:Z,4,FALSE)</f>
        <v xml:space="preserve"> </v>
      </c>
      <c r="F80" t="str">
        <f>VLOOKUP(A80,PartSpecs!A:Z,5,FALSE)</f>
        <v xml:space="preserve">Pan head &amp; SST preferred when applicable. </v>
      </c>
      <c r="G80" t="str">
        <f>VLOOKUP(A80,PartSpecs!A:Z,6,FALSE)</f>
        <v/>
      </c>
    </row>
    <row r="81" spans="1:7" x14ac:dyDescent="0.25">
      <c r="A81" s="4" t="s">
        <v>15</v>
      </c>
      <c r="B81" s="5">
        <v>17</v>
      </c>
      <c r="C81" t="str">
        <f>VLOOKUP(A81,PartSpecs!A:Z,2,FALSE)</f>
        <v>Fastenal</v>
      </c>
      <c r="D81" t="str">
        <f>VLOOKUP(A81,PartSpecs!A:Z,3,FALSE)</f>
        <v xml:space="preserve"> </v>
      </c>
      <c r="E81" t="str">
        <f>VLOOKUP(A81,PartSpecs!A:Z,4,FALSE)</f>
        <v xml:space="preserve"> </v>
      </c>
      <c r="F81" t="str">
        <f>VLOOKUP(A81,PartSpecs!A:Z,5,FALSE)</f>
        <v xml:space="preserve">Pan head &amp; SST preferred when applicable. </v>
      </c>
      <c r="G81" t="str">
        <f>VLOOKUP(A81,PartSpecs!A:Z,6,FALSE)</f>
        <v/>
      </c>
    </row>
    <row r="82" spans="1:7" x14ac:dyDescent="0.25">
      <c r="A82" s="4" t="s">
        <v>62</v>
      </c>
      <c r="B82" s="5">
        <v>2</v>
      </c>
      <c r="C82" t="str">
        <f>VLOOKUP(A82,PartSpecs!A:Z,2,FALSE)</f>
        <v>Fastenal</v>
      </c>
      <c r="D82" t="str">
        <f>VLOOKUP(A82,PartSpecs!A:Z,3,FALSE)</f>
        <v xml:space="preserve"> </v>
      </c>
      <c r="E82" t="str">
        <f>VLOOKUP(A82,PartSpecs!A:Z,4,FALSE)</f>
        <v xml:space="preserve"> </v>
      </c>
      <c r="F82" t="str">
        <f>VLOOKUP(A82,PartSpecs!A:Z,5,FALSE)</f>
        <v xml:space="preserve">Pan head &amp; SST preferred when applicable. </v>
      </c>
      <c r="G82" t="str">
        <f>VLOOKUP(A82,PartSpecs!A:Z,6,FALSE)</f>
        <v/>
      </c>
    </row>
    <row r="83" spans="1:7" x14ac:dyDescent="0.25">
      <c r="A83" s="4" t="s">
        <v>63</v>
      </c>
      <c r="B83" s="5">
        <v>2</v>
      </c>
      <c r="C83" t="str">
        <f>VLOOKUP(A83,PartSpecs!A:Z,2,FALSE)</f>
        <v>Fastenal</v>
      </c>
      <c r="D83" t="str">
        <f>VLOOKUP(A83,PartSpecs!A:Z,3,FALSE)</f>
        <v xml:space="preserve"> </v>
      </c>
      <c r="E83" t="str">
        <f>VLOOKUP(A83,PartSpecs!A:Z,4,FALSE)</f>
        <v xml:space="preserve"> </v>
      </c>
      <c r="F83" t="str">
        <f>VLOOKUP(A83,PartSpecs!A:Z,5,FALSE)</f>
        <v xml:space="preserve">Pan head &amp; SST preferred when applicable. </v>
      </c>
      <c r="G83" t="str">
        <f>VLOOKUP(A83,PartSpecs!A:Z,6,FALSE)</f>
        <v/>
      </c>
    </row>
    <row r="84" spans="1:7" x14ac:dyDescent="0.25">
      <c r="A84" s="4" t="s">
        <v>69</v>
      </c>
      <c r="B84" s="5">
        <v>4</v>
      </c>
      <c r="C84" t="str">
        <f>VLOOKUP(A84,PartSpecs!A:Z,2,FALSE)</f>
        <v>Fastenal</v>
      </c>
      <c r="D84" t="str">
        <f>VLOOKUP(A84,PartSpecs!A:Z,3,FALSE)</f>
        <v xml:space="preserve"> </v>
      </c>
      <c r="E84" t="str">
        <f>VLOOKUP(A84,PartSpecs!A:Z,4,FALSE)</f>
        <v xml:space="preserve"> </v>
      </c>
      <c r="F84" t="str">
        <f>VLOOKUP(A84,PartSpecs!A:Z,5,FALSE)</f>
        <v xml:space="preserve">Pan head &amp; SST preferred when applicable. </v>
      </c>
      <c r="G84" t="str">
        <f>VLOOKUP(A84,PartSpecs!A:Z,6,FALSE)</f>
        <v/>
      </c>
    </row>
    <row r="85" spans="1:7" x14ac:dyDescent="0.25">
      <c r="A85" s="4" t="s">
        <v>245</v>
      </c>
      <c r="B85" s="5">
        <v>5</v>
      </c>
      <c r="C85" t="str">
        <f>VLOOKUP(A85,PartSpecs!A:Z,2,FALSE)</f>
        <v>Fastenal</v>
      </c>
      <c r="D85" t="str">
        <f>VLOOKUP(A85,PartSpecs!A:Z,3,FALSE)</f>
        <v xml:space="preserve"> </v>
      </c>
      <c r="E85" t="str">
        <f>VLOOKUP(A85,PartSpecs!A:Z,4,FALSE)</f>
        <v xml:space="preserve"> </v>
      </c>
      <c r="F85" t="str">
        <f>VLOOKUP(A85,PartSpecs!A:Z,5,FALSE)</f>
        <v>Only order this if your timing pulleys and filament drive gear do not come with their own.  They nearly always do.</v>
      </c>
      <c r="G85" t="str">
        <f>VLOOKUP(A85,PartSpecs!A:Z,6,FALSE)</f>
        <v/>
      </c>
    </row>
    <row r="86" spans="1:7" x14ac:dyDescent="0.25">
      <c r="A86" s="4" t="s">
        <v>30</v>
      </c>
      <c r="B86" s="5">
        <v>47</v>
      </c>
      <c r="C86" t="str">
        <f>VLOOKUP(A86,PartSpecs!A:Z,2,FALSE)</f>
        <v>Fastenal</v>
      </c>
      <c r="D86" t="str">
        <f>VLOOKUP(A86,PartSpecs!A:Z,3,FALSE)</f>
        <v xml:space="preserve"> </v>
      </c>
      <c r="E86" t="str">
        <f>VLOOKUP(A86,PartSpecs!A:Z,4,FALSE)</f>
        <v xml:space="preserve"> </v>
      </c>
      <c r="F86" t="str">
        <f>VLOOKUP(A86,PartSpecs!A:Z,5,FALSE)</f>
        <v xml:space="preserve">Pan head &amp; SST preferred when applicable. </v>
      </c>
      <c r="G86" t="str">
        <f>VLOOKUP(A86,PartSpecs!A:Z,6,FALSE)</f>
        <v/>
      </c>
    </row>
    <row r="87" spans="1:7" x14ac:dyDescent="0.25">
      <c r="A87" s="4" t="s">
        <v>244</v>
      </c>
      <c r="B87" s="5">
        <v>30</v>
      </c>
      <c r="C87" t="str">
        <f>VLOOKUP(A87,PartSpecs!A:Z,2,FALSE)</f>
        <v>Fastenal</v>
      </c>
      <c r="D87" t="str">
        <f>VLOOKUP(A87,PartSpecs!A:Z,3,FALSE)</f>
        <v xml:space="preserve"> </v>
      </c>
      <c r="E87" t="str">
        <f>VLOOKUP(A87,PartSpecs!A:Z,4,FALSE)</f>
        <v xml:space="preserve"> </v>
      </c>
      <c r="F87" t="str">
        <f>VLOOKUP(A87,PartSpecs!A:Z,5,FALSE)</f>
        <v xml:space="preserve">Pan head &amp; SST preferred when applicable. </v>
      </c>
      <c r="G87" t="str">
        <f>VLOOKUP(A87,PartSpecs!A:Z,6,FALSE)</f>
        <v/>
      </c>
    </row>
    <row r="88" spans="1:7" x14ac:dyDescent="0.25">
      <c r="A88" s="4" t="s">
        <v>35</v>
      </c>
      <c r="B88" s="5">
        <v>25</v>
      </c>
      <c r="C88" t="str">
        <f>VLOOKUP(A88,PartSpecs!A:Z,2,FALSE)</f>
        <v>Fastenal</v>
      </c>
      <c r="D88" t="str">
        <f>VLOOKUP(A88,PartSpecs!A:Z,3,FALSE)</f>
        <v xml:space="preserve"> </v>
      </c>
      <c r="E88" t="str">
        <f>VLOOKUP(A88,PartSpecs!A:Z,4,FALSE)</f>
        <v xml:space="preserve"> </v>
      </c>
      <c r="F88" t="str">
        <f>VLOOKUP(A88,PartSpecs!A:Z,5,FALSE)</f>
        <v xml:space="preserve">Pan head &amp; SST preferred when applicable. </v>
      </c>
      <c r="G88" t="str">
        <f>VLOOKUP(A88,PartSpecs!A:Z,6,FALSE)</f>
        <v/>
      </c>
    </row>
    <row r="89" spans="1:7" x14ac:dyDescent="0.25">
      <c r="A89" s="4" t="s">
        <v>268</v>
      </c>
      <c r="B89" s="5">
        <v>12</v>
      </c>
      <c r="C89" t="str">
        <f>VLOOKUP(A89,PartSpecs!A:Z,2,FALSE)</f>
        <v>Fastenal</v>
      </c>
      <c r="D89" t="str">
        <f>VLOOKUP(A89,PartSpecs!A:Z,3,FALSE)</f>
        <v xml:space="preserve"> </v>
      </c>
      <c r="E89" t="str">
        <f>VLOOKUP(A89,PartSpecs!A:Z,4,FALSE)</f>
        <v xml:space="preserve"> </v>
      </c>
      <c r="F89" t="str">
        <f>VLOOKUP(A89,PartSpecs!A:Z,5,FALSE)</f>
        <v xml:space="preserve">Pan head &amp; SST preferred when applicable. </v>
      </c>
      <c r="G89" t="str">
        <f>VLOOKUP(A89,PartSpecs!A:Z,6,FALSE)</f>
        <v xml:space="preserve"> </v>
      </c>
    </row>
    <row r="90" spans="1:7" x14ac:dyDescent="0.25">
      <c r="A90" s="4" t="s">
        <v>43</v>
      </c>
      <c r="B90" s="5">
        <v>4</v>
      </c>
      <c r="C90" t="str">
        <f>VLOOKUP(A90,PartSpecs!A:Z,2,FALSE)</f>
        <v>Fastenal</v>
      </c>
      <c r="D90" t="str">
        <f>VLOOKUP(A90,PartSpecs!A:Z,3,FALSE)</f>
        <v xml:space="preserve"> </v>
      </c>
      <c r="E90" t="str">
        <f>VLOOKUP(A90,PartSpecs!A:Z,4,FALSE)</f>
        <v xml:space="preserve"> </v>
      </c>
      <c r="F90" t="str">
        <f>VLOOKUP(A90,PartSpecs!A:Z,5,FALSE)</f>
        <v xml:space="preserve">Pan head &amp; SST preferred when applicable. </v>
      </c>
      <c r="G90" t="str">
        <f>VLOOKUP(A90,PartSpecs!A:Z,6,FALSE)</f>
        <v/>
      </c>
    </row>
    <row r="91" spans="1:7" x14ac:dyDescent="0.25">
      <c r="A91" s="4" t="s">
        <v>146</v>
      </c>
      <c r="B91" s="5">
        <v>22</v>
      </c>
      <c r="C91" t="str">
        <f>VLOOKUP(A91,PartSpecs!A:Z,2,FALSE)</f>
        <v>Fastenal</v>
      </c>
      <c r="D91" t="str">
        <f>VLOOKUP(A91,PartSpecs!A:Z,3,FALSE)</f>
        <v xml:space="preserve"> </v>
      </c>
      <c r="E91" t="str">
        <f>VLOOKUP(A91,PartSpecs!A:Z,4,FALSE)</f>
        <v xml:space="preserve"> </v>
      </c>
      <c r="F91" t="str">
        <f>VLOOKUP(A91,PartSpecs!A:Z,5,FALSE)</f>
        <v xml:space="preserve">Pan head &amp; SST preferred when applicable. </v>
      </c>
      <c r="G91" t="str">
        <f>VLOOKUP(A91,PartSpecs!A:Z,6,FALSE)</f>
        <v/>
      </c>
    </row>
    <row r="92" spans="1:7" x14ac:dyDescent="0.25">
      <c r="A92" s="4" t="s">
        <v>236</v>
      </c>
      <c r="B92" s="5">
        <v>12</v>
      </c>
      <c r="C92" t="str">
        <f>VLOOKUP(A92,PartSpecs!A:Z,2,FALSE)</f>
        <v>Fastenal</v>
      </c>
      <c r="D92" t="str">
        <f>VLOOKUP(A92,PartSpecs!A:Z,3,FALSE)</f>
        <v xml:space="preserve"> </v>
      </c>
      <c r="E92" t="str">
        <f>VLOOKUP(A92,PartSpecs!A:Z,4,FALSE)</f>
        <v xml:space="preserve"> </v>
      </c>
      <c r="F92" t="str">
        <f>VLOOKUP(A92,PartSpecs!A:Z,5,FALSE)</f>
        <v>Rod End Mounts</v>
      </c>
      <c r="G92" t="str">
        <f>VLOOKUP(A92,PartSpecs!A:Z,6,FALSE)</f>
        <v>[http://www.fastenal.com/web/products/details/MX2530020A20000?searchMode=productSearch&amp;zipcode=&amp;filterByStore=&amp;filterByVendingMachine=]</v>
      </c>
    </row>
    <row r="93" spans="1:7" x14ac:dyDescent="0.25">
      <c r="A93" s="4" t="s">
        <v>179</v>
      </c>
      <c r="B93" s="5">
        <v>67</v>
      </c>
      <c r="C93" t="str">
        <f>VLOOKUP(A93,PartSpecs!A:Z,2,FALSE)</f>
        <v>OpenBuilds</v>
      </c>
      <c r="D93" t="str">
        <f>VLOOKUP(A93,PartSpecs!A:Z,3,FALSE)</f>
        <v xml:space="preserve"> </v>
      </c>
      <c r="E93" t="str">
        <f>VLOOKUP(A93,PartSpecs!A:Z,4,FALSE)</f>
        <v xml:space="preserve"> </v>
      </c>
      <c r="F93" t="str">
        <f>VLOOKUP(A93,PartSpecs!A:Z,5,FALSE)</f>
        <v>Do not order directly for hardware.  Hardware comes kitted with your rail.</v>
      </c>
      <c r="G93" t="str">
        <f>VLOOKUP(A93,PartSpecs!A:Z,6,FALSE)</f>
        <v>[http://openbuildspartstore.com/openrail-black-anodized/]</v>
      </c>
    </row>
    <row r="94" spans="1:7" x14ac:dyDescent="0.25">
      <c r="A94" s="4" t="s">
        <v>70</v>
      </c>
      <c r="B94" s="5">
        <v>4</v>
      </c>
      <c r="C94" t="str">
        <f>VLOOKUP(A94,PartSpecs!A:Z,2,FALSE)</f>
        <v>Home Depot</v>
      </c>
      <c r="D94" t="str">
        <f>VLOOKUP(A94,PartSpecs!A:Z,3,FALSE)</f>
        <v xml:space="preserve"> </v>
      </c>
      <c r="E94" t="str">
        <f>VLOOKUP(A94,PartSpecs!A:Z,4,FALSE)</f>
        <v xml:space="preserve"> </v>
      </c>
      <c r="F94" t="str">
        <f>VLOOKUP(A94,PartSpecs!A:Z,5,FALSE)</f>
        <v>Only 1x spring kit reqd</v>
      </c>
      <c r="G94" t="str">
        <f>VLOOKUP(A94,PartSpecs!A:Z,6,FALSE)</f>
        <v>[http://www.homedepot.com/p/Everbilt-Spring-Assortment-Kit-84-Pack-15642/202045461]</v>
      </c>
    </row>
    <row r="95" spans="1:7" x14ac:dyDescent="0.25">
      <c r="A95" s="4" t="s">
        <v>36</v>
      </c>
      <c r="B95" s="5">
        <v>7</v>
      </c>
      <c r="C95" t="str">
        <f>VLOOKUP(A95,PartSpecs!A:Z,2,FALSE)</f>
        <v>Home Depot</v>
      </c>
      <c r="D95" t="str">
        <f>VLOOKUP(A95,PartSpecs!A:Z,3,FALSE)</f>
        <v xml:space="preserve"> </v>
      </c>
      <c r="E95" t="str">
        <f>VLOOKUP(A95,PartSpecs!A:Z,4,FALSE)</f>
        <v xml:space="preserve"> </v>
      </c>
      <c r="F95" t="str">
        <f>VLOOKUP(A95,PartSpecs!A:Z,5,FALSE)</f>
        <v>Only 1x spring kit reqd</v>
      </c>
      <c r="G95" t="str">
        <f>VLOOKUP(A95,PartSpecs!A:Z,6,FALSE)</f>
        <v>[http://www.homedepot.com/p/Everbilt-Spring-Assortment-Kit-84-Pack-15642/202045461]</v>
      </c>
    </row>
    <row r="96" spans="1:7" x14ac:dyDescent="0.25">
      <c r="A96" s="4" t="s">
        <v>32</v>
      </c>
      <c r="B96" s="5">
        <v>1</v>
      </c>
      <c r="C96" t="str">
        <f>VLOOKUP(A96,PartSpecs!A:Z,2,FALSE)</f>
        <v>Amazon</v>
      </c>
      <c r="D96" t="str">
        <f>VLOOKUP(A96,PartSpecs!A:Z,3,FALSE)</f>
        <v>Amico KSD301</v>
      </c>
      <c r="E96" t="str">
        <f>VLOOKUP(A96,PartSpecs!A:Z,4,FALSE)</f>
        <v xml:space="preserve"> </v>
      </c>
      <c r="F96" t="str">
        <f>VLOOKUP(A96,PartSpecs!A:Z,5,FALSE)</f>
        <v>Recommended for safety</v>
      </c>
      <c r="G96" t="str">
        <f>VLOOKUP(A96,PartSpecs!A:Z,6,FALSE)</f>
        <v>[http://www.amazon.com/Amico-Thermostat-Temperature-Control-Celsius/dp/B007Q81IQY]</v>
      </c>
    </row>
    <row r="97" spans="1:7" x14ac:dyDescent="0.25">
      <c r="A97" s="4" t="s">
        <v>28</v>
      </c>
      <c r="B97" s="5">
        <v>3</v>
      </c>
      <c r="C97" t="str">
        <f>VLOOKUP(A97,PartSpecs!A:Z,2,FALSE)</f>
        <v>(no vendor data entered)</v>
      </c>
      <c r="D97" t="str">
        <f>VLOOKUP(A97,PartSpecs!A:Z,3,FALSE)</f>
        <v xml:space="preserve"> </v>
      </c>
      <c r="E97" t="str">
        <f>VLOOKUP(A97,PartSpecs!A:Z,4,FALSE)</f>
        <v xml:space="preserve"> </v>
      </c>
      <c r="F97" t="str">
        <f>VLOOKUP(A97,PartSpecs!A:Z,5,FALSE)</f>
        <v>This is a thermal barrier between the bed and the bed clamp.  Simply household cloth shall suffice.</v>
      </c>
      <c r="G97" t="str">
        <f>VLOOKUP(A97,PartSpecs!A:Z,6,FALSE)</f>
        <v/>
      </c>
    </row>
    <row r="98" spans="1:7" x14ac:dyDescent="0.25">
      <c r="A98" s="4" t="s">
        <v>116</v>
      </c>
      <c r="B98" s="5">
        <v>2</v>
      </c>
      <c r="C98" t="str">
        <f>VLOOKUP(A98,PartSpecs!A:Z,2,FALSE)</f>
        <v>MakerShop</v>
      </c>
      <c r="D98" t="str">
        <f>VLOOKUP(A98,PartSpecs!A:Z,3,FALSE)</f>
        <v xml:space="preserve"> </v>
      </c>
      <c r="E98" t="str">
        <f>VLOOKUP(A98,PartSpecs!A:Z,4,FALSE)</f>
        <v xml:space="preserve"> </v>
      </c>
      <c r="F98" t="str">
        <f>VLOOKUP(A98,PartSpecs!A:Z,5,FALSE)</f>
        <v>Any common RepRap 4mm tube shall suffice</v>
      </c>
      <c r="G98" t="str">
        <f>VLOOKUP(A98,PartSpecs!A:Z,6,FALSE)</f>
        <v>[http://www.makershop.co.nz/PFA_4-2MM]</v>
      </c>
    </row>
    <row r="99" spans="1:7" x14ac:dyDescent="0.25">
      <c r="A99" s="4" t="s">
        <v>94</v>
      </c>
      <c r="B99" s="5">
        <v>1</v>
      </c>
      <c r="C99" t="str">
        <f>VLOOKUP(A99,PartSpecs!A:Z,2,FALSE)</f>
        <v>McMaster-Carr</v>
      </c>
      <c r="D99" t="str">
        <f>VLOOKUP(A99,PartSpecs!A:Z,3,FALSE)</f>
        <v xml:space="preserve"> </v>
      </c>
      <c r="E99" t="str">
        <f>VLOOKUP(A99,PartSpecs!A:Z,4,FALSE)</f>
        <v>7578K73</v>
      </c>
      <c r="F99" t="str">
        <f>VLOOKUP(A99,PartSpecs!A:Z,5,FALSE)</f>
        <v>The 6'6" is enough for your full build</v>
      </c>
      <c r="G99" t="str">
        <f>VLOOKUP(A99,PartSpecs!A:Z,6,FALSE)</f>
        <v>[http://www.mcmaster.com/#catalog/120/862/=qly4to]</v>
      </c>
    </row>
    <row r="100" spans="1:7" x14ac:dyDescent="0.25">
      <c r="A100" s="4" t="s">
        <v>95</v>
      </c>
      <c r="B100" s="5">
        <v>1</v>
      </c>
      <c r="C100" t="str">
        <f>VLOOKUP(A100,PartSpecs!A:Z,2,FALSE)</f>
        <v>McMaster-Carr</v>
      </c>
      <c r="D100" t="str">
        <f>VLOOKUP(A100,PartSpecs!A:Z,3,FALSE)</f>
        <v xml:space="preserve"> </v>
      </c>
      <c r="E100" t="str">
        <f>VLOOKUP(A100,PartSpecs!A:Z,4,FALSE)</f>
        <v>7578K73</v>
      </c>
      <c r="F100" t="str">
        <f>VLOOKUP(A100,PartSpecs!A:Z,5,FALSE)</f>
        <v>The 6'6" is enough for your full build</v>
      </c>
      <c r="G100" t="str">
        <f>VLOOKUP(A100,PartSpecs!A:Z,6,FALSE)</f>
        <v>[http://www.mcmaster.com/#catalog/120/862/=qly4to]</v>
      </c>
    </row>
    <row r="101" spans="1:7" x14ac:dyDescent="0.25">
      <c r="A101" s="4" t="s">
        <v>92</v>
      </c>
      <c r="B101" s="5">
        <v>2</v>
      </c>
      <c r="C101" t="str">
        <f>VLOOKUP(A101,PartSpecs!A:Z,2,FALSE)</f>
        <v>McMaster-Carr</v>
      </c>
      <c r="D101" t="str">
        <f>VLOOKUP(A101,PartSpecs!A:Z,3,FALSE)</f>
        <v xml:space="preserve"> </v>
      </c>
      <c r="E101" t="str">
        <f>VLOOKUP(A101,PartSpecs!A:Z,4,FALSE)</f>
        <v>7578K73</v>
      </c>
      <c r="F101" t="str">
        <f>VLOOKUP(A101,PartSpecs!A:Z,5,FALSE)</f>
        <v>The 6'6" is enough for your full build</v>
      </c>
      <c r="G101" t="str">
        <f>VLOOKUP(A101,PartSpecs!A:Z,6,FALSE)</f>
        <v>[http://www.mcmaster.com/#catalog/120/862/=qly4to]</v>
      </c>
    </row>
    <row r="102" spans="1:7" x14ac:dyDescent="0.25">
      <c r="A102" s="4" t="s">
        <v>93</v>
      </c>
      <c r="B102" s="5">
        <v>1</v>
      </c>
      <c r="C102" t="str">
        <f>VLOOKUP(A102,PartSpecs!A:Z,2,FALSE)</f>
        <v>McMaster-Carr</v>
      </c>
      <c r="D102" t="str">
        <f>VLOOKUP(A102,PartSpecs!A:Z,3,FALSE)</f>
        <v xml:space="preserve"> </v>
      </c>
      <c r="E102" t="str">
        <f>VLOOKUP(A102,PartSpecs!A:Z,4,FALSE)</f>
        <v>7578K73</v>
      </c>
      <c r="F102" t="str">
        <f>VLOOKUP(A102,PartSpecs!A:Z,5,FALSE)</f>
        <v>The 6'6" is enough for your full build</v>
      </c>
      <c r="G102" t="str">
        <f>VLOOKUP(A102,PartSpecs!A:Z,6,FALSE)</f>
        <v>[http://www.mcmaster.com/#catalog/120/862/=qly4to]</v>
      </c>
    </row>
    <row r="103" spans="1:7" x14ac:dyDescent="0.25">
      <c r="A103" s="4" t="s">
        <v>98</v>
      </c>
      <c r="B103" s="5">
        <v>1</v>
      </c>
      <c r="C103" t="str">
        <f>VLOOKUP(A103,PartSpecs!A:Z,2,FALSE)</f>
        <v>McMaster-Carr</v>
      </c>
      <c r="D103" t="str">
        <f>VLOOKUP(A103,PartSpecs!A:Z,3,FALSE)</f>
        <v xml:space="preserve"> </v>
      </c>
      <c r="E103" t="str">
        <f>VLOOKUP(A103,PartSpecs!A:Z,4,FALSE)</f>
        <v>7378K41</v>
      </c>
      <c r="F103" t="str">
        <f>VLOOKUP(A103,PartSpecs!A:Z,5,FALSE)</f>
        <v>Pick a color! You may use 8+ ft.</v>
      </c>
      <c r="G103" t="str">
        <f>VLOOKUP(A103,PartSpecs!A:Z,6,FALSE)</f>
        <v>[http://www.mcmaster.com/#spiral-bundling-wrap/=qm0474]</v>
      </c>
    </row>
    <row r="104" spans="1:7" x14ac:dyDescent="0.25">
      <c r="A104" s="4" t="s">
        <v>90</v>
      </c>
      <c r="B104" s="5">
        <v>8</v>
      </c>
      <c r="C104" t="str">
        <f>VLOOKUP(A104,PartSpecs!A:Z,2,FALSE)</f>
        <v>Fastenal</v>
      </c>
      <c r="D104" t="str">
        <f>VLOOKUP(A104,PartSpecs!A:Z,3,FALSE)</f>
        <v xml:space="preserve"> </v>
      </c>
      <c r="E104" t="str">
        <f>VLOOKUP(A104,PartSpecs!A:Z,4,FALSE)</f>
        <v xml:space="preserve"> </v>
      </c>
      <c r="F104" t="str">
        <f>VLOOKUP(A104,PartSpecs!A:Z,5,FALSE)</f>
        <v>SST preferred</v>
      </c>
      <c r="G104" t="str">
        <f>VLOOKUP(A104,PartSpecs!A:Z,6,FALSE)</f>
        <v/>
      </c>
    </row>
    <row r="105" spans="1:7" x14ac:dyDescent="0.25">
      <c r="A105" s="4" t="s">
        <v>6</v>
      </c>
      <c r="B105" s="5">
        <v>69</v>
      </c>
      <c r="C105" t="str">
        <f>VLOOKUP(A105,PartSpecs!A:Z,2,FALSE)</f>
        <v>Fastenal</v>
      </c>
      <c r="D105" t="str">
        <f>VLOOKUP(A105,PartSpecs!A:Z,3,FALSE)</f>
        <v xml:space="preserve"> </v>
      </c>
      <c r="E105" t="str">
        <f>VLOOKUP(A105,PartSpecs!A:Z,4,FALSE)</f>
        <v xml:space="preserve"> </v>
      </c>
      <c r="F105" t="str">
        <f>VLOOKUP(A105,PartSpecs!A:Z,5,FALSE)</f>
        <v>SST preferred</v>
      </c>
      <c r="G105" t="str">
        <f>VLOOKUP(A105,PartSpecs!A:Z,6,FALSE)</f>
        <v/>
      </c>
    </row>
    <row r="106" spans="1:7" x14ac:dyDescent="0.25">
      <c r="A106" s="4" t="s">
        <v>5</v>
      </c>
      <c r="B106" s="5">
        <v>145</v>
      </c>
      <c r="C106" t="str">
        <f>VLOOKUP(A106,PartSpecs!A:Z,2,FALSE)</f>
        <v>Fastenal</v>
      </c>
      <c r="D106" t="str">
        <f>VLOOKUP(A106,PartSpecs!A:Z,3,FALSE)</f>
        <v xml:space="preserve"> </v>
      </c>
      <c r="E106" t="str">
        <f>VLOOKUP(A106,PartSpecs!A:Z,4,FALSE)</f>
        <v xml:space="preserve"> </v>
      </c>
      <c r="F106" t="str">
        <f>VLOOKUP(A106,PartSpecs!A:Z,5,FALSE)</f>
        <v>SST preferred</v>
      </c>
      <c r="G106" t="str">
        <f>VLOOKUP(A106,PartSpecs!A:Z,6,FALSE)</f>
        <v/>
      </c>
    </row>
    <row r="107" spans="1:7" x14ac:dyDescent="0.25">
      <c r="A107" s="4" t="s">
        <v>40</v>
      </c>
      <c r="B107" s="5">
        <v>6</v>
      </c>
      <c r="C107" t="str">
        <f>VLOOKUP(A107,PartSpecs!A:Z,2,FALSE)</f>
        <v>Fastenal</v>
      </c>
      <c r="D107" t="str">
        <f>VLOOKUP(A107,PartSpecs!A:Z,3,FALSE)</f>
        <v xml:space="preserve"> </v>
      </c>
      <c r="E107" t="str">
        <f>VLOOKUP(A107,PartSpecs!A:Z,4,FALSE)</f>
        <v xml:space="preserve"> </v>
      </c>
      <c r="F107" t="str">
        <f>VLOOKUP(A107,PartSpecs!A:Z,5,FALSE)</f>
        <v>SST preferred</v>
      </c>
      <c r="G107" t="str">
        <f>VLOOKUP(A107,PartSpecs!A:Z,6,FALSE)</f>
        <v>[http://www.fastenal.com/web/products/details/11511778?isPunchout=false]</v>
      </c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UpdateFlatBOM">
                <anchor moveWithCells="1" sizeWithCells="1">
                  <from>
                    <xdr:col>7</xdr:col>
                    <xdr:colOff>85725</xdr:colOff>
                    <xdr:row>0</xdr:row>
                    <xdr:rowOff>38100</xdr:rowOff>
                  </from>
                  <to>
                    <xdr:col>16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7"/>
  <sheetViews>
    <sheetView workbookViewId="0">
      <selection activeCell="A108" sqref="A108"/>
    </sheetView>
  </sheetViews>
  <sheetFormatPr defaultRowHeight="15" x14ac:dyDescent="0.25"/>
  <cols>
    <col min="1" max="1" width="37" bestFit="1" customWidth="1"/>
    <col min="2" max="2" width="25.7109375" customWidth="1"/>
    <col min="3" max="3" width="8" bestFit="1" customWidth="1"/>
    <col min="4" max="4" width="8" customWidth="1"/>
    <col min="5" max="5" width="25.85546875" customWidth="1"/>
    <col min="6" max="6" width="62.28515625" customWidth="1"/>
    <col min="7" max="7" width="73" bestFit="1" customWidth="1"/>
  </cols>
  <sheetData>
    <row r="1" spans="1:7" s="7" customFormat="1" x14ac:dyDescent="0.25">
      <c r="A1" s="7" t="s">
        <v>109</v>
      </c>
      <c r="B1" s="7" t="s">
        <v>113</v>
      </c>
      <c r="C1" s="7" t="s">
        <v>122</v>
      </c>
      <c r="D1" s="7" t="s">
        <v>154</v>
      </c>
      <c r="E1" s="7" t="s">
        <v>129</v>
      </c>
      <c r="F1" s="7" t="s">
        <v>252</v>
      </c>
      <c r="G1" s="7" t="s">
        <v>124</v>
      </c>
    </row>
    <row r="2" spans="1:7" x14ac:dyDescent="0.25">
      <c r="A2" t="s">
        <v>171</v>
      </c>
      <c r="B2" t="s">
        <v>189</v>
      </c>
      <c r="C2" t="s">
        <v>172</v>
      </c>
      <c r="D2" t="s">
        <v>172</v>
      </c>
      <c r="E2" t="s">
        <v>188</v>
      </c>
      <c r="F2" t="str">
        <f>IF( ISBLANK(G2),
     "",
     "["&amp;G2&amp;"]"
)</f>
        <v>[http://us.misumi-ec.com/]</v>
      </c>
      <c r="G2" s="6" t="s">
        <v>187</v>
      </c>
    </row>
    <row r="3" spans="1:7" x14ac:dyDescent="0.25">
      <c r="A3" t="s">
        <v>56</v>
      </c>
      <c r="B3" t="s">
        <v>189</v>
      </c>
      <c r="C3" t="s">
        <v>173</v>
      </c>
      <c r="D3" t="s">
        <v>173</v>
      </c>
      <c r="E3" t="s">
        <v>188</v>
      </c>
      <c r="F3" t="str">
        <f>IF( ISBLANK(G3),
     "",
     "["&amp;G3&amp;"]"
)</f>
        <v>[http://us.misumi-ec.com/]</v>
      </c>
      <c r="G3" s="6" t="s">
        <v>187</v>
      </c>
    </row>
    <row r="4" spans="1:7" x14ac:dyDescent="0.25">
      <c r="A4" s="4" t="s">
        <v>54</v>
      </c>
      <c r="B4" t="s">
        <v>189</v>
      </c>
      <c r="C4" t="s">
        <v>170</v>
      </c>
      <c r="D4" t="s">
        <v>170</v>
      </c>
      <c r="E4" t="s">
        <v>188</v>
      </c>
      <c r="F4" t="str">
        <f>IF( ISBLANK(G4),
     "",
     "["&amp;G4&amp;"]"
)</f>
        <v>[http://us.misumi-ec.com/]</v>
      </c>
      <c r="G4" s="6" t="s">
        <v>187</v>
      </c>
    </row>
    <row r="5" spans="1:7" x14ac:dyDescent="0.25">
      <c r="A5" t="s">
        <v>4</v>
      </c>
      <c r="B5" t="s">
        <v>189</v>
      </c>
      <c r="C5" t="s">
        <v>168</v>
      </c>
      <c r="D5" t="s">
        <v>168</v>
      </c>
      <c r="E5" t="s">
        <v>188</v>
      </c>
      <c r="F5" t="str">
        <f>IF( ISBLANK(G5),
     "",
     "["&amp;G5&amp;"]"
)</f>
        <v>[http://us.misumi-ec.com/]</v>
      </c>
      <c r="G5" s="6" t="s">
        <v>187</v>
      </c>
    </row>
    <row r="6" spans="1:7" x14ac:dyDescent="0.25">
      <c r="A6" t="s">
        <v>39</v>
      </c>
      <c r="B6" t="s">
        <v>189</v>
      </c>
      <c r="C6" t="s">
        <v>169</v>
      </c>
      <c r="D6" t="s">
        <v>169</v>
      </c>
      <c r="E6" t="s">
        <v>188</v>
      </c>
      <c r="F6" t="str">
        <f>IF( ISBLANK(G6),
     "",
     "["&amp;G6&amp;"]"
)</f>
        <v>[http://us.misumi-ec.com/]</v>
      </c>
      <c r="G6" s="6" t="s">
        <v>187</v>
      </c>
    </row>
    <row r="7" spans="1:7" x14ac:dyDescent="0.25">
      <c r="A7" t="s">
        <v>55</v>
      </c>
      <c r="B7" t="s">
        <v>189</v>
      </c>
      <c r="C7" t="s">
        <v>159</v>
      </c>
      <c r="D7" t="s">
        <v>159</v>
      </c>
      <c r="E7" t="s">
        <v>188</v>
      </c>
      <c r="F7" t="str">
        <f>IF( ISBLANK(G7),
     "",
     "["&amp;G7&amp;"]"
)</f>
        <v>[http://us.misumi-ec.com/]</v>
      </c>
      <c r="G7" s="6" t="s">
        <v>187</v>
      </c>
    </row>
    <row r="8" spans="1:7" x14ac:dyDescent="0.25">
      <c r="A8" t="s">
        <v>0</v>
      </c>
      <c r="B8" t="s">
        <v>189</v>
      </c>
      <c r="C8" t="s">
        <v>167</v>
      </c>
      <c r="D8" t="s">
        <v>167</v>
      </c>
      <c r="E8" t="s">
        <v>188</v>
      </c>
      <c r="F8" t="str">
        <f>IF( ISBLANK(G8),
     "",
     "["&amp;G8&amp;"]"
)</f>
        <v>[http://us.misumi-ec.com/]</v>
      </c>
      <c r="G8" s="6" t="s">
        <v>187</v>
      </c>
    </row>
    <row r="9" spans="1:7" x14ac:dyDescent="0.25">
      <c r="A9" t="s">
        <v>64</v>
      </c>
      <c r="B9" t="s">
        <v>190</v>
      </c>
      <c r="C9" t="s">
        <v>191</v>
      </c>
      <c r="D9" t="s">
        <v>253</v>
      </c>
      <c r="E9" t="s">
        <v>193</v>
      </c>
      <c r="F9" t="str">
        <f>IF( ISBLANK(G9),
     "",
     "["&amp;G9&amp;"]"
)</f>
        <v>[http://www.amazon.com/Amico-Single-Shielded-Miniature-Bearings/dp/B00843OUNI/ref=sr_1_1?ie=UTF8&amp;qid=1391903370&amp;sr=8-1&amp;keywords=608z]</v>
      </c>
      <c r="G9" s="6" t="s">
        <v>192</v>
      </c>
    </row>
    <row r="10" spans="1:7" x14ac:dyDescent="0.25">
      <c r="A10" t="s">
        <v>42</v>
      </c>
      <c r="B10" t="s">
        <v>190</v>
      </c>
      <c r="C10" t="s">
        <v>194</v>
      </c>
      <c r="D10" t="s">
        <v>253</v>
      </c>
      <c r="E10" t="s">
        <v>193</v>
      </c>
      <c r="F10" t="str">
        <f>IF( ISBLANK(G10),
     "",
     "["&amp;G10&amp;"]"
)</f>
        <v>[http://www.amazon.com/Amico-Single-Shielded-Groove-Bearing/dp/B00AUB7M3C/ref=sr_1_1?ie=UTF8&amp;qid=1391903417&amp;sr=8-1&amp;keywords=624z]</v>
      </c>
      <c r="G10" s="8" t="s">
        <v>195</v>
      </c>
    </row>
    <row r="11" spans="1:7" x14ac:dyDescent="0.25">
      <c r="A11" t="s">
        <v>31</v>
      </c>
      <c r="B11" t="s">
        <v>274</v>
      </c>
      <c r="C11" t="s">
        <v>253</v>
      </c>
      <c r="D11">
        <v>26602</v>
      </c>
      <c r="E11" t="s">
        <v>276</v>
      </c>
      <c r="F11" t="str">
        <f>IF( ISBLANK(G11),
     "",
     "["&amp;G11&amp;"]"
)</f>
        <v>[http://seemecnc.com/products/boroscillicate-glass-build-plate-300mm]</v>
      </c>
      <c r="G11" s="8" t="s">
        <v>275</v>
      </c>
    </row>
    <row r="12" spans="1:7" x14ac:dyDescent="0.25">
      <c r="A12" t="s">
        <v>119</v>
      </c>
      <c r="B12" t="s">
        <v>180</v>
      </c>
      <c r="C12" t="s">
        <v>253</v>
      </c>
      <c r="D12" t="s">
        <v>253</v>
      </c>
      <c r="E12" t="s">
        <v>186</v>
      </c>
      <c r="F12" t="str">
        <f>IF( ISBLANK(G12),
     "",
     "["&amp;G12&amp;"]"
)</f>
        <v>[http://openbuildspartstore.com/gt2-2mm-timing-belt/]</v>
      </c>
      <c r="G12" s="6" t="s">
        <v>185</v>
      </c>
    </row>
    <row r="13" spans="1:7" x14ac:dyDescent="0.25">
      <c r="A13" t="s">
        <v>270</v>
      </c>
      <c r="B13" t="s">
        <v>138</v>
      </c>
      <c r="C13" t="s">
        <v>253</v>
      </c>
      <c r="D13" t="s">
        <v>253</v>
      </c>
      <c r="E13" t="s">
        <v>272</v>
      </c>
      <c r="F13" t="str">
        <f>IF( ISBLANK(G13),
     "",
     "["&amp;G13&amp;"]"
)</f>
        <v>[http://www.ponoko.com/design-your-own/products/cossel-wood-plate-11227]</v>
      </c>
      <c r="G13" s="6" t="s">
        <v>128</v>
      </c>
    </row>
    <row r="14" spans="1:7" x14ac:dyDescent="0.25">
      <c r="A14" t="s">
        <v>271</v>
      </c>
      <c r="B14" t="s">
        <v>138</v>
      </c>
      <c r="C14" t="s">
        <v>253</v>
      </c>
      <c r="D14" t="s">
        <v>253</v>
      </c>
      <c r="E14" t="s">
        <v>272</v>
      </c>
      <c r="F14" t="str">
        <f>IF( ISBLANK(G14),
     "",
     "["&amp;G14&amp;"]"
)</f>
        <v>[http://www.ponoko.com/design-your-own/products/cossel-wood-plate-11227]</v>
      </c>
      <c r="G14" s="6" t="s">
        <v>128</v>
      </c>
    </row>
    <row r="15" spans="1:7" x14ac:dyDescent="0.25">
      <c r="A15" t="s">
        <v>25</v>
      </c>
      <c r="B15" t="s">
        <v>138</v>
      </c>
      <c r="C15" t="s">
        <v>253</v>
      </c>
      <c r="D15" t="s">
        <v>253</v>
      </c>
      <c r="E15" t="s">
        <v>130</v>
      </c>
      <c r="F15" t="str">
        <f>IF( ISBLANK(G15),
     "",
     "["&amp;G15&amp;"]"
)</f>
        <v>[http://www.ponoko.com/design-your-own/products/cossel-wood-plate-11227]</v>
      </c>
      <c r="G15" t="s">
        <v>128</v>
      </c>
    </row>
    <row r="16" spans="1:7" x14ac:dyDescent="0.25">
      <c r="A16" t="s">
        <v>127</v>
      </c>
      <c r="B16" t="s">
        <v>138</v>
      </c>
      <c r="C16" t="s">
        <v>253</v>
      </c>
      <c r="D16" t="s">
        <v>253</v>
      </c>
      <c r="E16" t="s">
        <v>130</v>
      </c>
      <c r="F16" t="str">
        <f>IF( ISBLANK(G16),
     "",
     "["&amp;G16&amp;"]"
)</f>
        <v>[http://www.ponoko.com/design-your-own/products/cossel-wood-plate-11227]</v>
      </c>
      <c r="G16" t="s">
        <v>128</v>
      </c>
    </row>
    <row r="17" spans="1:7" x14ac:dyDescent="0.25">
      <c r="A17" t="s">
        <v>50</v>
      </c>
      <c r="B17" t="s">
        <v>196</v>
      </c>
      <c r="C17" t="s">
        <v>196</v>
      </c>
      <c r="D17" t="s">
        <v>196</v>
      </c>
      <c r="E17" t="s">
        <v>197</v>
      </c>
      <c r="F17" t="str">
        <f>IF( ISBLANK(G17),
     "",
     "["&amp;G17&amp;"]"
)</f>
        <v/>
      </c>
    </row>
    <row r="18" spans="1:7" x14ac:dyDescent="0.25">
      <c r="A18" t="s">
        <v>126</v>
      </c>
      <c r="B18" t="s">
        <v>138</v>
      </c>
      <c r="C18" t="s">
        <v>253</v>
      </c>
      <c r="D18" t="s">
        <v>253</v>
      </c>
      <c r="E18" t="s">
        <v>130</v>
      </c>
      <c r="F18" t="str">
        <f>IF( ISBLANK(G18),
     "",
     "["&amp;G18&amp;"]"
)</f>
        <v>[http://www.ponoko.com/design-your-own/products/cossel-wood-plate-11227]</v>
      </c>
      <c r="G18" t="s">
        <v>128</v>
      </c>
    </row>
    <row r="19" spans="1:7" x14ac:dyDescent="0.25">
      <c r="A19" t="s">
        <v>52</v>
      </c>
      <c r="B19" t="s">
        <v>160</v>
      </c>
      <c r="C19" t="s">
        <v>166</v>
      </c>
      <c r="D19" t="s">
        <v>166</v>
      </c>
      <c r="E19" t="s">
        <v>188</v>
      </c>
      <c r="F19" t="str">
        <f>IF( ISBLANK(G19),
     "",
     "["&amp;G19&amp;"]"
)</f>
        <v>[http://us.misumi-ec.com/]</v>
      </c>
      <c r="G19" s="6" t="s">
        <v>187</v>
      </c>
    </row>
    <row r="20" spans="1:7" x14ac:dyDescent="0.25">
      <c r="A20" t="s">
        <v>148</v>
      </c>
      <c r="B20" t="s">
        <v>158</v>
      </c>
      <c r="C20" t="s">
        <v>253</v>
      </c>
      <c r="D20" t="s">
        <v>150</v>
      </c>
      <c r="E20" t="s">
        <v>151</v>
      </c>
      <c r="F20" t="str">
        <f>IF( ISBLANK(G20),
     "",
     "["&amp;G20&amp;"]"
)</f>
        <v>[https://www.sparkfun.com/products/10647]</v>
      </c>
      <c r="G20" t="s">
        <v>149</v>
      </c>
    </row>
    <row r="21" spans="1:7" x14ac:dyDescent="0.25">
      <c r="A21" t="s">
        <v>65</v>
      </c>
      <c r="B21" t="s">
        <v>240</v>
      </c>
      <c r="C21" t="s">
        <v>253</v>
      </c>
      <c r="D21" t="s">
        <v>253</v>
      </c>
      <c r="E21" t="s">
        <v>199</v>
      </c>
      <c r="F21" t="str">
        <f>IF( ISBLANK(G21),
     "",
     "["&amp;G21&amp;"]"
)</f>
        <v>[http://reprap.org/wiki/Drive-gear]</v>
      </c>
      <c r="G21" s="6" t="s">
        <v>198</v>
      </c>
    </row>
    <row r="22" spans="1:7" x14ac:dyDescent="0.25">
      <c r="A22" t="s">
        <v>239</v>
      </c>
      <c r="B22" t="s">
        <v>190</v>
      </c>
      <c r="C22" t="s">
        <v>253</v>
      </c>
      <c r="D22" t="s">
        <v>253</v>
      </c>
      <c r="E22" t="s">
        <v>242</v>
      </c>
      <c r="F22" t="str">
        <f>IF( ISBLANK(G22),
     "",
     "["&amp;G22&amp;"]"
)</f>
        <v>[http://www.amazon.com/Devcon-2-Ton-Crystal-Clear-0-84-Ounce/dp/B0006O8QQ0/ref=sr_1_1?s=toys-and-games&amp;ie=UTF8&amp;qid=1391907029&amp;sr=1-1&amp;keywords=two+part+epoxy]</v>
      </c>
      <c r="G22" s="6" t="s">
        <v>241</v>
      </c>
    </row>
    <row r="23" spans="1:7" x14ac:dyDescent="0.25">
      <c r="A23" t="s">
        <v>80</v>
      </c>
      <c r="B23" t="s">
        <v>137</v>
      </c>
      <c r="C23" t="s">
        <v>253</v>
      </c>
      <c r="D23" t="s">
        <v>253</v>
      </c>
      <c r="E23" t="s">
        <v>136</v>
      </c>
      <c r="F23" t="str">
        <f>IF( ISBLANK(G23),
     "",
     "["&amp;G23&amp;"]"
)</f>
        <v>[http://www.makergear.com/products/extruders]</v>
      </c>
      <c r="G23" t="s">
        <v>135</v>
      </c>
    </row>
    <row r="24" spans="1:7" x14ac:dyDescent="0.25">
      <c r="A24" t="s">
        <v>86</v>
      </c>
      <c r="B24" t="s">
        <v>190</v>
      </c>
      <c r="C24" t="s">
        <v>253</v>
      </c>
      <c r="D24" t="s">
        <v>253</v>
      </c>
      <c r="E24" t="s">
        <v>201</v>
      </c>
      <c r="F24" t="str">
        <f>IF( ISBLANK(G24),
     "",
     "["&amp;G24&amp;"]"
)</f>
        <v>[http://www.amazon.com/Gelid-Solutions-Silent-40mm-FN-SX04-42/dp/B00BF3S83C/ref=sr_1_6?s=electronics&amp;ie=UTF8&amp;qid=1391904001&amp;sr=1-6&amp;keywords=40mm+fan]</v>
      </c>
      <c r="G24" s="6" t="s">
        <v>200</v>
      </c>
    </row>
    <row r="25" spans="1:7" x14ac:dyDescent="0.25">
      <c r="A25" t="s">
        <v>77</v>
      </c>
      <c r="B25" t="s">
        <v>190</v>
      </c>
      <c r="C25" t="s">
        <v>203</v>
      </c>
      <c r="D25" t="s">
        <v>253</v>
      </c>
      <c r="E25" t="s">
        <v>204</v>
      </c>
      <c r="F25" t="str">
        <f>IF( ISBLANK(G25),
     "",
     "["&amp;G25&amp;"]"
)</f>
        <v>[http://www.amazon.com/dp/B00AM42V6U/ref=biss_dp_sa1]</v>
      </c>
      <c r="G25" s="6" t="s">
        <v>202</v>
      </c>
    </row>
    <row r="26" spans="1:7" x14ac:dyDescent="0.25">
      <c r="A26" t="s">
        <v>105</v>
      </c>
      <c r="B26" t="s">
        <v>180</v>
      </c>
      <c r="C26" t="s">
        <v>253</v>
      </c>
      <c r="D26" t="s">
        <v>253</v>
      </c>
      <c r="E26" t="s">
        <v>176</v>
      </c>
      <c r="F26" t="str">
        <f>IF( ISBLANK(G26),
     "",
     "["&amp;G26&amp;"]"
)</f>
        <v>[http://openbuildspartstore.com/gt2-2mm-aluminum-timing-pulley-20/]</v>
      </c>
      <c r="G26" s="6" t="s">
        <v>175</v>
      </c>
    </row>
    <row r="27" spans="1:7" x14ac:dyDescent="0.25">
      <c r="A27" t="s">
        <v>133</v>
      </c>
      <c r="B27" t="s">
        <v>139</v>
      </c>
      <c r="C27" t="s">
        <v>253</v>
      </c>
      <c r="D27" t="s">
        <v>143</v>
      </c>
      <c r="E27" t="s">
        <v>263</v>
      </c>
      <c r="F27" t="str">
        <f>IF( ISBLANK(G27),
     "",
     "["&amp;G27&amp;"]"
)</f>
        <v>[https://ultimachine.com/content/kysan-1124090-nema-17-stepper-motor]</v>
      </c>
      <c r="G27" s="6" t="s">
        <v>132</v>
      </c>
    </row>
    <row r="28" spans="1:7" x14ac:dyDescent="0.25">
      <c r="A28" t="s">
        <v>134</v>
      </c>
      <c r="B28" t="s">
        <v>140</v>
      </c>
      <c r="C28" t="s">
        <v>253</v>
      </c>
      <c r="D28" t="s">
        <v>142</v>
      </c>
      <c r="E28" t="s">
        <v>264</v>
      </c>
      <c r="F28" t="str">
        <f>IF( ISBLANK(G28),
     "",
     "["&amp;G28&amp;"]"
)</f>
        <v>[http://www.phidgets.com/products.php?product_id=3317]</v>
      </c>
      <c r="G28" s="6" t="s">
        <v>131</v>
      </c>
    </row>
    <row r="29" spans="1:7" x14ac:dyDescent="0.25">
      <c r="A29" t="s">
        <v>53</v>
      </c>
      <c r="B29" t="s">
        <v>180</v>
      </c>
      <c r="C29" t="s">
        <v>253</v>
      </c>
      <c r="D29" t="s">
        <v>253</v>
      </c>
      <c r="E29" t="s">
        <v>184</v>
      </c>
      <c r="F29" t="str">
        <f>IF( ISBLANK(G29),
     "",
     "["&amp;G29&amp;"]"
)</f>
        <v/>
      </c>
    </row>
    <row r="30" spans="1:7" x14ac:dyDescent="0.25">
      <c r="A30" t="s">
        <v>27</v>
      </c>
      <c r="B30" t="s">
        <v>229</v>
      </c>
      <c r="C30" t="s">
        <v>253</v>
      </c>
      <c r="D30" t="s">
        <v>253</v>
      </c>
      <c r="E30" t="s">
        <v>209</v>
      </c>
      <c r="F30" t="str">
        <f>IF( ISBLANK(G30),
     "",
     "["&amp;G30&amp;"]"
)</f>
        <v>[http://www.fastenal.com/web/products/details/1L2510000A20000?searchMode=productSearch&amp;zipcode=&amp;filterByStore=&amp;filterByVendingMachine=]</v>
      </c>
      <c r="G30" s="6" t="s">
        <v>207</v>
      </c>
    </row>
    <row r="31" spans="1:7" x14ac:dyDescent="0.25">
      <c r="A31" t="s">
        <v>14</v>
      </c>
      <c r="B31" t="s">
        <v>229</v>
      </c>
      <c r="C31" t="s">
        <v>253</v>
      </c>
      <c r="D31" t="s">
        <v>253</v>
      </c>
      <c r="E31" t="s">
        <v>211</v>
      </c>
      <c r="F31" t="str">
        <f>IF( ISBLANK(G31),
     "",
     "["&amp;G31&amp;"]"
)</f>
        <v>[http://www.fastenal.com/web/products/details/MJ2510000A20000?searchMode=productSearch&amp;zipcode=&amp;filterByStore=&amp;filterByVendingMachine=]</v>
      </c>
      <c r="G31" s="6" t="s">
        <v>210</v>
      </c>
    </row>
    <row r="32" spans="1:7" x14ac:dyDescent="0.25">
      <c r="A32" t="s">
        <v>41</v>
      </c>
      <c r="B32" t="s">
        <v>229</v>
      </c>
      <c r="C32" t="s">
        <v>253</v>
      </c>
      <c r="D32" t="s">
        <v>253</v>
      </c>
      <c r="E32" t="s">
        <v>209</v>
      </c>
      <c r="F32" t="str">
        <f>IF( ISBLANK(G32),
     "",
     "["&amp;G32&amp;"]"
)</f>
        <v>[http://www.fastenal.com/web/products/details/1L2530000A20000?searchMode=productSearch&amp;zipcode=&amp;filterByStore=&amp;filterByVendingMachine=]</v>
      </c>
      <c r="G32" s="6" t="s">
        <v>208</v>
      </c>
    </row>
    <row r="33" spans="1:7" x14ac:dyDescent="0.25">
      <c r="A33" t="s">
        <v>269</v>
      </c>
      <c r="B33" t="s">
        <v>189</v>
      </c>
      <c r="C33" t="s">
        <v>161</v>
      </c>
      <c r="D33" t="s">
        <v>161</v>
      </c>
      <c r="E33" t="s">
        <v>188</v>
      </c>
      <c r="F33" t="str">
        <f>IF( ISBLANK(G33),
     "",
     "["&amp;G33&amp;"]"
)</f>
        <v/>
      </c>
    </row>
    <row r="34" spans="1:7" x14ac:dyDescent="0.25">
      <c r="A34" t="s">
        <v>18</v>
      </c>
      <c r="B34" t="s">
        <v>180</v>
      </c>
      <c r="C34" t="s">
        <v>253</v>
      </c>
      <c r="D34" t="s">
        <v>253</v>
      </c>
      <c r="E34" t="s">
        <v>184</v>
      </c>
      <c r="F34" t="str">
        <f>IF( ISBLANK(G34),
     "",
     "["&amp;G34&amp;"]"
)</f>
        <v/>
      </c>
    </row>
    <row r="35" spans="1:7" x14ac:dyDescent="0.25">
      <c r="A35" t="s">
        <v>16</v>
      </c>
      <c r="B35" t="s">
        <v>180</v>
      </c>
      <c r="C35" t="s">
        <v>253</v>
      </c>
      <c r="D35" t="s">
        <v>253</v>
      </c>
      <c r="E35" t="s">
        <v>184</v>
      </c>
      <c r="F35" t="str">
        <f>IF( ISBLANK(G35),
     "",
     "["&amp;G35&amp;"]"
)</f>
        <v/>
      </c>
    </row>
    <row r="36" spans="1:7" x14ac:dyDescent="0.25">
      <c r="A36" t="s">
        <v>212</v>
      </c>
      <c r="B36" t="s">
        <v>180</v>
      </c>
      <c r="C36" t="s">
        <v>253</v>
      </c>
      <c r="D36" t="s">
        <v>253</v>
      </c>
      <c r="E36" t="s">
        <v>184</v>
      </c>
      <c r="F36" t="str">
        <f>IF( ISBLANK(G36),
     "",
     "["&amp;G36&amp;"]"
)</f>
        <v/>
      </c>
    </row>
    <row r="37" spans="1:7" x14ac:dyDescent="0.25">
      <c r="A37" t="s">
        <v>10</v>
      </c>
      <c r="B37" t="s">
        <v>180</v>
      </c>
      <c r="C37" t="s">
        <v>253</v>
      </c>
      <c r="D37" t="s">
        <v>253</v>
      </c>
      <c r="E37" t="s">
        <v>184</v>
      </c>
      <c r="F37" t="str">
        <f>IF( ISBLANK(G37),
     "",
     "["&amp;G37&amp;"]"
)</f>
        <v/>
      </c>
    </row>
    <row r="38" spans="1:7" x14ac:dyDescent="0.25">
      <c r="A38" t="s">
        <v>17</v>
      </c>
      <c r="B38" t="s">
        <v>180</v>
      </c>
      <c r="C38" t="s">
        <v>253</v>
      </c>
      <c r="D38" t="s">
        <v>253</v>
      </c>
      <c r="E38" t="s">
        <v>262</v>
      </c>
      <c r="F38" t="str">
        <f>IF( ISBLANK(G38),
     "",
     "["&amp;G38&amp;"]"
)</f>
        <v>[http://openbuildspartstore.com/eccentric-spacers/]</v>
      </c>
      <c r="G38" s="6" t="s">
        <v>174</v>
      </c>
    </row>
    <row r="39" spans="1:7" x14ac:dyDescent="0.25">
      <c r="A39" t="s">
        <v>19</v>
      </c>
      <c r="B39" t="s">
        <v>180</v>
      </c>
      <c r="C39" t="s">
        <v>253</v>
      </c>
      <c r="D39" t="s">
        <v>253</v>
      </c>
      <c r="E39" t="s">
        <v>184</v>
      </c>
      <c r="F39" t="str">
        <f>IF( ISBLANK(G39),
     "",
     "["&amp;G39&amp;"]"
)</f>
        <v/>
      </c>
    </row>
    <row r="40" spans="1:7" x14ac:dyDescent="0.25">
      <c r="A40" t="s">
        <v>11</v>
      </c>
      <c r="B40" t="s">
        <v>180</v>
      </c>
      <c r="C40" t="s">
        <v>253</v>
      </c>
      <c r="D40" t="s">
        <v>253</v>
      </c>
      <c r="E40" t="s">
        <v>261</v>
      </c>
      <c r="F40" t="str">
        <f>IF( ISBLANK(G40),
     "",
     "["&amp;G40&amp;"]"
)</f>
        <v>[http://openbuildspartstore.com/openbuilds-dual-v-wheel-kit-delrin/]</v>
      </c>
      <c r="G40" s="6" t="s">
        <v>183</v>
      </c>
    </row>
    <row r="41" spans="1:7" x14ac:dyDescent="0.25">
      <c r="A41" t="s">
        <v>12</v>
      </c>
      <c r="B41" t="s">
        <v>180</v>
      </c>
      <c r="C41" t="s">
        <v>253</v>
      </c>
      <c r="D41" t="s">
        <v>253</v>
      </c>
      <c r="E41" t="s">
        <v>261</v>
      </c>
      <c r="F41" t="str">
        <f>IF( ISBLANK(G41),
     "",
     "["&amp;G41&amp;"]"
)</f>
        <v>[http://openbuildspartstore.com/openbuilds-dual-v-wheel-kit-metal/]</v>
      </c>
      <c r="G41" s="6" t="s">
        <v>182</v>
      </c>
    </row>
    <row r="42" spans="1:7" x14ac:dyDescent="0.25">
      <c r="A42" t="s">
        <v>1</v>
      </c>
      <c r="B42" t="s">
        <v>180</v>
      </c>
      <c r="C42" t="s">
        <v>253</v>
      </c>
      <c r="D42" t="s">
        <v>253</v>
      </c>
      <c r="E42" t="s">
        <v>178</v>
      </c>
      <c r="F42" t="str">
        <f>IF( ISBLANK(G42),
     "",
     "["&amp;G42&amp;"]"
)</f>
        <v>[http://openbuildspartstore.com/openrail-black-anodized/]</v>
      </c>
      <c r="G42" s="6" t="s">
        <v>177</v>
      </c>
    </row>
    <row r="43" spans="1:7" x14ac:dyDescent="0.25">
      <c r="A43" t="s">
        <v>82</v>
      </c>
      <c r="B43" t="s">
        <v>139</v>
      </c>
      <c r="C43" t="s">
        <v>253</v>
      </c>
      <c r="D43" t="s">
        <v>253</v>
      </c>
      <c r="E43" t="s">
        <v>218</v>
      </c>
      <c r="F43" t="str">
        <f>IF( ISBLANK(G43),
     "",
     "["&amp;G43&amp;"]"
)</f>
        <v>[https://ultimachine.com/content/arduino-mega-2560-r3]</v>
      </c>
      <c r="G43" s="6" t="s">
        <v>217</v>
      </c>
    </row>
    <row r="44" spans="1:7" x14ac:dyDescent="0.25">
      <c r="A44" t="s">
        <v>219</v>
      </c>
      <c r="B44" t="s">
        <v>223</v>
      </c>
      <c r="C44" t="s">
        <v>253</v>
      </c>
      <c r="D44" t="s">
        <v>253</v>
      </c>
      <c r="E44" t="s">
        <v>260</v>
      </c>
      <c r="F44" t="str">
        <f>IF( ISBLANK(G44),
     "",
     "["&amp;G44&amp;"]"
)</f>
        <v>[http://www.geeetech.com/wiki/index.php/Reprap_Ramps1.4_RRD_Fan_Extender]</v>
      </c>
      <c r="G44" s="6" t="s">
        <v>221</v>
      </c>
    </row>
    <row r="45" spans="1:7" x14ac:dyDescent="0.25">
      <c r="A45" t="s">
        <v>24</v>
      </c>
      <c r="B45" t="s">
        <v>139</v>
      </c>
      <c r="C45" t="s">
        <v>253</v>
      </c>
      <c r="D45" t="s">
        <v>253</v>
      </c>
      <c r="E45" t="s">
        <v>257</v>
      </c>
      <c r="F45" t="str">
        <f>IF( ISBLANK(G45),
     "",
     "["&amp;G45&amp;"]"
)</f>
        <v>[https://ultimachine.com/content/prusa-pcb-heated-bed]</v>
      </c>
      <c r="G45" s="6" t="s">
        <v>216</v>
      </c>
    </row>
    <row r="46" spans="1:7" x14ac:dyDescent="0.25">
      <c r="A46" t="s">
        <v>47</v>
      </c>
      <c r="B46" t="s">
        <v>139</v>
      </c>
      <c r="C46" t="s">
        <v>253</v>
      </c>
      <c r="D46" t="s">
        <v>253</v>
      </c>
      <c r="E46" t="s">
        <v>259</v>
      </c>
      <c r="F46" t="str">
        <f>IF( ISBLANK(G46),
     "",
     "["&amp;G46&amp;"]"
)</f>
        <v>[https://ultimachine.com/oek]</v>
      </c>
      <c r="G46" s="6" t="s">
        <v>215</v>
      </c>
    </row>
    <row r="47" spans="1:7" x14ac:dyDescent="0.25">
      <c r="A47" t="s">
        <v>84</v>
      </c>
      <c r="B47" t="s">
        <v>139</v>
      </c>
      <c r="C47" t="s">
        <v>253</v>
      </c>
      <c r="D47" t="s">
        <v>253</v>
      </c>
      <c r="E47" t="s">
        <v>214</v>
      </c>
      <c r="F47" t="str">
        <f>IF( ISBLANK(G47),
     "",
     "["&amp;G47&amp;"]"
)</f>
        <v>[https://ultimachine.com/ramps-pre-assembled-kit-complete]</v>
      </c>
      <c r="G47" s="6" t="s">
        <v>213</v>
      </c>
    </row>
    <row r="48" spans="1:7" x14ac:dyDescent="0.25">
      <c r="A48" t="s">
        <v>220</v>
      </c>
      <c r="B48" t="s">
        <v>223</v>
      </c>
      <c r="C48" t="s">
        <v>253</v>
      </c>
      <c r="D48" t="s">
        <v>253</v>
      </c>
      <c r="E48" t="s">
        <v>258</v>
      </c>
      <c r="F48" t="str">
        <f>IF( ISBLANK(G48),
     "",
     "["&amp;G48&amp;"]"
)</f>
        <v>[http://www.geeetech.com/wiki/index.php/SD_for_RAMPS]</v>
      </c>
      <c r="G48" s="6" t="s">
        <v>222</v>
      </c>
    </row>
    <row r="49" spans="1:7" x14ac:dyDescent="0.25">
      <c r="A49" t="s">
        <v>49</v>
      </c>
      <c r="B49" t="s">
        <v>152</v>
      </c>
      <c r="C49" t="s">
        <v>156</v>
      </c>
      <c r="D49" t="s">
        <v>155</v>
      </c>
      <c r="E49" t="s">
        <v>157</v>
      </c>
      <c r="F49" t="str">
        <f>IF( ISBLANK(G49),
     "",
     "["&amp;G49&amp;"]"
)</f>
        <v>[http://www.newegg.com/Product/Product.aspx?Item=N82E16817153167]</v>
      </c>
      <c r="G49" s="6" t="s">
        <v>153</v>
      </c>
    </row>
    <row r="50" spans="1:7" x14ac:dyDescent="0.25">
      <c r="A50" t="s">
        <v>20</v>
      </c>
      <c r="B50" t="s">
        <v>163</v>
      </c>
      <c r="C50" t="s">
        <v>253</v>
      </c>
      <c r="D50" t="s">
        <v>162</v>
      </c>
      <c r="E50" t="s">
        <v>165</v>
      </c>
      <c r="F50" t="str">
        <f>IF( ISBLANK(G50),
     "",
     "["&amp;G50&amp;"]"
)</f>
        <v>[http://www.hobbyexpress.com/carbon_fiber_tube_5.5_x_4.0_x_1000_mm_24247_prd1.htm?pSearchQueryId=4680220]</v>
      </c>
      <c r="G50" t="s">
        <v>164</v>
      </c>
    </row>
    <row r="51" spans="1:7" x14ac:dyDescent="0.25">
      <c r="A51" t="s">
        <v>21</v>
      </c>
      <c r="B51" t="s">
        <v>190</v>
      </c>
      <c r="C51">
        <v>5347</v>
      </c>
      <c r="D51" t="s">
        <v>253</v>
      </c>
      <c r="E51" t="s">
        <v>225</v>
      </c>
      <c r="F51" t="str">
        <f>IF( ISBLANK(G51),
     "",
     "["&amp;G51&amp;"]"
)</f>
        <v>[http://www.amazon.com/Traxxas-5347-Hollow-Balls-Large/dp/B000BOLVJY]</v>
      </c>
      <c r="G51" s="6" t="s">
        <v>224</v>
      </c>
    </row>
    <row r="52" spans="1:7" x14ac:dyDescent="0.25">
      <c r="A52" t="s">
        <v>74</v>
      </c>
      <c r="B52" t="s">
        <v>226</v>
      </c>
      <c r="C52" t="s">
        <v>253</v>
      </c>
      <c r="D52" t="s">
        <v>253</v>
      </c>
      <c r="E52" t="s">
        <v>228</v>
      </c>
      <c r="F52" t="str">
        <f>IF( ISBLANK(G52),
     "",
     "["&amp;G52&amp;"]"
)</f>
        <v>[http://reprap.org/wiki/Threaded_rod]</v>
      </c>
      <c r="G52" s="6" t="s">
        <v>227</v>
      </c>
    </row>
    <row r="53" spans="1:7" x14ac:dyDescent="0.25">
      <c r="A53" t="s">
        <v>3</v>
      </c>
      <c r="B53" t="s">
        <v>196</v>
      </c>
      <c r="C53" t="s">
        <v>196</v>
      </c>
      <c r="D53" t="s">
        <v>196</v>
      </c>
      <c r="E53" t="s">
        <v>197</v>
      </c>
      <c r="F53" t="str">
        <f>IF( ISBLANK(G53),
     "",
     "["&amp;G53&amp;"]"
)</f>
        <v/>
      </c>
    </row>
    <row r="54" spans="1:7" x14ac:dyDescent="0.25">
      <c r="A54" t="s">
        <v>29</v>
      </c>
      <c r="B54" t="s">
        <v>196</v>
      </c>
      <c r="C54" t="s">
        <v>196</v>
      </c>
      <c r="D54" t="s">
        <v>196</v>
      </c>
      <c r="E54" t="s">
        <v>197</v>
      </c>
      <c r="F54" t="str">
        <f>IF( ISBLANK(G54),
     "",
     "["&amp;G54&amp;"]"
)</f>
        <v/>
      </c>
    </row>
    <row r="55" spans="1:7" x14ac:dyDescent="0.25">
      <c r="A55" t="s">
        <v>267</v>
      </c>
      <c r="B55" t="s">
        <v>196</v>
      </c>
      <c r="C55" t="s">
        <v>196</v>
      </c>
      <c r="D55" t="s">
        <v>196</v>
      </c>
      <c r="E55" t="s">
        <v>197</v>
      </c>
      <c r="F55" t="str">
        <f>IF( ISBLANK(G55),
     "",
     "["&amp;G55&amp;"]"
)</f>
        <v/>
      </c>
    </row>
    <row r="56" spans="1:7" x14ac:dyDescent="0.25">
      <c r="A56" t="s">
        <v>75</v>
      </c>
      <c r="B56" t="s">
        <v>196</v>
      </c>
      <c r="C56" t="s">
        <v>196</v>
      </c>
      <c r="D56" t="s">
        <v>196</v>
      </c>
      <c r="E56" t="s">
        <v>197</v>
      </c>
      <c r="F56" t="str">
        <f>IF( ISBLANK(G56),
     "",
     "["&amp;G56&amp;"]"
)</f>
        <v/>
      </c>
    </row>
    <row r="57" spans="1:7" x14ac:dyDescent="0.25">
      <c r="A57" t="s">
        <v>88</v>
      </c>
      <c r="B57" t="s">
        <v>196</v>
      </c>
      <c r="C57" t="s">
        <v>196</v>
      </c>
      <c r="D57" t="s">
        <v>196</v>
      </c>
      <c r="E57" t="s">
        <v>197</v>
      </c>
      <c r="F57" t="str">
        <f>IF( ISBLANK(G57),
     "",
     "["&amp;G57&amp;"]"
)</f>
        <v/>
      </c>
    </row>
    <row r="58" spans="1:7" x14ac:dyDescent="0.25">
      <c r="A58" t="s">
        <v>89</v>
      </c>
      <c r="B58" t="s">
        <v>196</v>
      </c>
      <c r="C58" t="s">
        <v>196</v>
      </c>
      <c r="D58" t="s">
        <v>196</v>
      </c>
      <c r="E58" t="s">
        <v>197</v>
      </c>
      <c r="F58" t="str">
        <f>IF( ISBLANK(G58),
     "",
     "["&amp;G58&amp;"]"
)</f>
        <v/>
      </c>
    </row>
    <row r="59" spans="1:7" x14ac:dyDescent="0.25">
      <c r="A59" t="s">
        <v>125</v>
      </c>
      <c r="B59" t="s">
        <v>196</v>
      </c>
      <c r="C59" t="s">
        <v>196</v>
      </c>
      <c r="D59" t="s">
        <v>196</v>
      </c>
      <c r="E59" t="s">
        <v>197</v>
      </c>
      <c r="F59" t="str">
        <f>IF( ISBLANK(G59),
     "",
     "["&amp;G59&amp;"]"
)</f>
        <v/>
      </c>
    </row>
    <row r="60" spans="1:7" x14ac:dyDescent="0.25">
      <c r="A60" t="s">
        <v>85</v>
      </c>
      <c r="B60" t="s">
        <v>196</v>
      </c>
      <c r="C60" t="s">
        <v>196</v>
      </c>
      <c r="D60" t="s">
        <v>196</v>
      </c>
      <c r="E60" t="s">
        <v>197</v>
      </c>
      <c r="F60" t="str">
        <f>IF( ISBLANK(G60),
     "",
     "["&amp;G60&amp;"]"
)</f>
        <v/>
      </c>
    </row>
    <row r="61" spans="1:7" x14ac:dyDescent="0.25">
      <c r="A61" t="s">
        <v>277</v>
      </c>
      <c r="B61" t="s">
        <v>196</v>
      </c>
      <c r="C61" t="s">
        <v>196</v>
      </c>
      <c r="D61" t="s">
        <v>196</v>
      </c>
      <c r="E61" t="s">
        <v>197</v>
      </c>
      <c r="F61" t="str">
        <f>IF( ISBLANK(G61),
     "",
     "["&amp;G61&amp;"]"
)</f>
        <v/>
      </c>
    </row>
    <row r="62" spans="1:7" x14ac:dyDescent="0.25">
      <c r="A62" t="s">
        <v>278</v>
      </c>
      <c r="B62" t="s">
        <v>196</v>
      </c>
      <c r="C62" t="s">
        <v>196</v>
      </c>
      <c r="D62" t="s">
        <v>196</v>
      </c>
      <c r="E62" t="s">
        <v>197</v>
      </c>
      <c r="F62" t="str">
        <f>IF( ISBLANK(G62),
     "",
     "["&amp;G62&amp;"]"
)</f>
        <v/>
      </c>
    </row>
    <row r="63" spans="1:7" x14ac:dyDescent="0.25">
      <c r="A63" t="s">
        <v>279</v>
      </c>
      <c r="B63" t="s">
        <v>196</v>
      </c>
      <c r="C63" t="s">
        <v>196</v>
      </c>
      <c r="D63" t="s">
        <v>196</v>
      </c>
      <c r="E63" t="s">
        <v>197</v>
      </c>
      <c r="F63" t="str">
        <f>IF( ISBLANK(G63),
     "",
     "["&amp;G63&amp;"]"
)</f>
        <v/>
      </c>
    </row>
    <row r="64" spans="1:7" x14ac:dyDescent="0.25">
      <c r="A64" t="s">
        <v>58</v>
      </c>
      <c r="B64" t="s">
        <v>196</v>
      </c>
      <c r="C64" t="s">
        <v>196</v>
      </c>
      <c r="D64" t="s">
        <v>196</v>
      </c>
      <c r="E64" t="s">
        <v>197</v>
      </c>
      <c r="F64" t="str">
        <f>IF( ISBLANK(G64),
     "",
     "["&amp;G64&amp;"]"
)</f>
        <v/>
      </c>
    </row>
    <row r="65" spans="1:7" x14ac:dyDescent="0.25">
      <c r="A65" t="s">
        <v>57</v>
      </c>
      <c r="B65" t="s">
        <v>196</v>
      </c>
      <c r="C65" t="s">
        <v>196</v>
      </c>
      <c r="D65" t="s">
        <v>196</v>
      </c>
      <c r="E65" t="s">
        <v>197</v>
      </c>
      <c r="F65" t="str">
        <f>IF( ISBLANK(G65),
     "",
     "["&amp;G65&amp;"]"
)</f>
        <v/>
      </c>
    </row>
    <row r="66" spans="1:7" x14ac:dyDescent="0.25">
      <c r="A66" t="s">
        <v>13</v>
      </c>
      <c r="B66" t="s">
        <v>196</v>
      </c>
      <c r="C66" t="s">
        <v>196</v>
      </c>
      <c r="D66" t="s">
        <v>196</v>
      </c>
      <c r="E66" t="s">
        <v>197</v>
      </c>
      <c r="F66" t="str">
        <f>IF( ISBLANK(G66),
     "",
     "["&amp;G66&amp;"]"
)</f>
        <v/>
      </c>
    </row>
    <row r="67" spans="1:7" x14ac:dyDescent="0.25">
      <c r="A67" t="s">
        <v>66</v>
      </c>
      <c r="B67" t="s">
        <v>196</v>
      </c>
      <c r="C67" t="s">
        <v>196</v>
      </c>
      <c r="D67" t="s">
        <v>196</v>
      </c>
      <c r="E67" t="s">
        <v>197</v>
      </c>
      <c r="F67" t="str">
        <f>IF( ISBLANK(G67),
     "",
     "["&amp;G67&amp;"]"
)</f>
        <v/>
      </c>
    </row>
    <row r="68" spans="1:7" x14ac:dyDescent="0.25">
      <c r="A68" t="s">
        <v>68</v>
      </c>
      <c r="B68" t="s">
        <v>196</v>
      </c>
      <c r="C68" t="s">
        <v>196</v>
      </c>
      <c r="D68" t="s">
        <v>196</v>
      </c>
      <c r="E68" t="s">
        <v>197</v>
      </c>
      <c r="F68" t="str">
        <f>IF( ISBLANK(G68),
     "",
     "["&amp;G68&amp;"]"
)</f>
        <v/>
      </c>
    </row>
    <row r="69" spans="1:7" x14ac:dyDescent="0.25">
      <c r="A69" t="s">
        <v>73</v>
      </c>
      <c r="B69" t="s">
        <v>196</v>
      </c>
      <c r="C69" t="s">
        <v>196</v>
      </c>
      <c r="D69" t="s">
        <v>196</v>
      </c>
      <c r="E69" t="s">
        <v>197</v>
      </c>
      <c r="F69" t="str">
        <f>IF( ISBLANK(G69),
     "",
     "["&amp;G69&amp;"]"
)</f>
        <v/>
      </c>
    </row>
    <row r="70" spans="1:7" x14ac:dyDescent="0.25">
      <c r="A70" t="s">
        <v>67</v>
      </c>
      <c r="B70" t="s">
        <v>196</v>
      </c>
      <c r="C70" t="s">
        <v>196</v>
      </c>
      <c r="D70" t="s">
        <v>196</v>
      </c>
      <c r="E70" t="s">
        <v>197</v>
      </c>
      <c r="F70" t="str">
        <f>IF( ISBLANK(G70),
     "",
     "["&amp;G70&amp;"]"
)</f>
        <v/>
      </c>
    </row>
    <row r="71" spans="1:7" x14ac:dyDescent="0.25">
      <c r="A71" t="s">
        <v>103</v>
      </c>
      <c r="B71" t="s">
        <v>196</v>
      </c>
      <c r="C71" t="s">
        <v>196</v>
      </c>
      <c r="D71" t="s">
        <v>196</v>
      </c>
      <c r="E71" t="s">
        <v>197</v>
      </c>
      <c r="F71" t="str">
        <f>IF( ISBLANK(G71),
     "",
     "["&amp;G71&amp;"]"
)</f>
        <v/>
      </c>
    </row>
    <row r="72" spans="1:7" x14ac:dyDescent="0.25">
      <c r="A72" t="s">
        <v>273</v>
      </c>
      <c r="B72" t="s">
        <v>196</v>
      </c>
      <c r="C72" t="s">
        <v>196</v>
      </c>
      <c r="D72" t="s">
        <v>196</v>
      </c>
      <c r="E72" t="s">
        <v>197</v>
      </c>
      <c r="F72" t="str">
        <f>IF( ISBLANK(G72),
     "",
     "["&amp;G72&amp;"]"
)</f>
        <v/>
      </c>
    </row>
    <row r="73" spans="1:7" x14ac:dyDescent="0.25">
      <c r="A73" t="s">
        <v>45</v>
      </c>
      <c r="B73" t="s">
        <v>196</v>
      </c>
      <c r="C73" t="s">
        <v>196</v>
      </c>
      <c r="D73" t="s">
        <v>196</v>
      </c>
      <c r="E73" t="s">
        <v>197</v>
      </c>
      <c r="F73" t="str">
        <f>IF( ISBLANK(G73),
     "",
     "["&amp;G73&amp;"]"
)</f>
        <v/>
      </c>
    </row>
    <row r="74" spans="1:7" x14ac:dyDescent="0.25">
      <c r="A74" t="s">
        <v>9</v>
      </c>
      <c r="B74" t="s">
        <v>196</v>
      </c>
      <c r="C74" t="s">
        <v>196</v>
      </c>
      <c r="D74" t="s">
        <v>196</v>
      </c>
      <c r="E74" t="s">
        <v>197</v>
      </c>
      <c r="F74" t="str">
        <f>IF( ISBLANK(G74),
     "",
     "["&amp;G74&amp;"]"
)</f>
        <v/>
      </c>
    </row>
    <row r="75" spans="1:7" x14ac:dyDescent="0.25">
      <c r="A75" t="s">
        <v>78</v>
      </c>
      <c r="B75" t="s">
        <v>196</v>
      </c>
      <c r="C75" t="s">
        <v>196</v>
      </c>
      <c r="D75" t="s">
        <v>196</v>
      </c>
      <c r="E75" t="s">
        <v>197</v>
      </c>
      <c r="F75" t="str">
        <f>IF( ISBLANK(G75),
     "",
     "["&amp;G75&amp;"]"
)</f>
        <v/>
      </c>
    </row>
    <row r="76" spans="1:7" x14ac:dyDescent="0.25">
      <c r="A76" t="s">
        <v>38</v>
      </c>
      <c r="B76" t="s">
        <v>196</v>
      </c>
      <c r="C76" t="s">
        <v>196</v>
      </c>
      <c r="D76" t="s">
        <v>196</v>
      </c>
      <c r="E76" t="s">
        <v>197</v>
      </c>
      <c r="F76" t="str">
        <f>IF( ISBLANK(G76),
     "",
     "["&amp;G76&amp;"]"
)</f>
        <v/>
      </c>
    </row>
    <row r="77" spans="1:7" x14ac:dyDescent="0.25">
      <c r="A77" t="s">
        <v>33</v>
      </c>
      <c r="B77" t="s">
        <v>229</v>
      </c>
      <c r="C77" t="s">
        <v>253</v>
      </c>
      <c r="D77" t="s">
        <v>253</v>
      </c>
      <c r="E77" t="s">
        <v>230</v>
      </c>
      <c r="F77" t="str">
        <f>IF( ISBLANK(G77),
     "",
     "["&amp;G77&amp;"]"
)</f>
        <v/>
      </c>
      <c r="G77" s="6"/>
    </row>
    <row r="78" spans="1:7" x14ac:dyDescent="0.25">
      <c r="A78" t="s">
        <v>61</v>
      </c>
      <c r="B78" t="s">
        <v>229</v>
      </c>
      <c r="C78" t="s">
        <v>253</v>
      </c>
      <c r="D78" t="s">
        <v>253</v>
      </c>
      <c r="E78" t="s">
        <v>243</v>
      </c>
      <c r="F78" t="str">
        <f>IF( ISBLANK(G78),
     "",
     "["&amp;G78&amp;"]"
)</f>
        <v/>
      </c>
    </row>
    <row r="79" spans="1:7" x14ac:dyDescent="0.25">
      <c r="A79" t="s">
        <v>46</v>
      </c>
      <c r="B79" t="s">
        <v>229</v>
      </c>
      <c r="C79" t="s">
        <v>253</v>
      </c>
      <c r="D79" t="s">
        <v>253</v>
      </c>
      <c r="E79" t="s">
        <v>243</v>
      </c>
      <c r="F79" t="str">
        <f>IF( ISBLANK(G79),
     "",
     "["&amp;G79&amp;"]"
)</f>
        <v/>
      </c>
    </row>
    <row r="80" spans="1:7" x14ac:dyDescent="0.25">
      <c r="A80" t="s">
        <v>104</v>
      </c>
      <c r="B80" t="s">
        <v>229</v>
      </c>
      <c r="C80" t="s">
        <v>253</v>
      </c>
      <c r="D80" t="s">
        <v>253</v>
      </c>
      <c r="E80" t="s">
        <v>243</v>
      </c>
      <c r="F80" t="str">
        <f>IF( ISBLANK(G80),
     "",
     "["&amp;G80&amp;"]"
)</f>
        <v/>
      </c>
    </row>
    <row r="81" spans="1:7" x14ac:dyDescent="0.25">
      <c r="A81" t="s">
        <v>15</v>
      </c>
      <c r="B81" t="s">
        <v>229</v>
      </c>
      <c r="C81" t="s">
        <v>253</v>
      </c>
      <c r="D81" t="s">
        <v>253</v>
      </c>
      <c r="E81" t="s">
        <v>243</v>
      </c>
      <c r="F81" t="str">
        <f>IF( ISBLANK(G81),
     "",
     "["&amp;G81&amp;"]"
)</f>
        <v/>
      </c>
    </row>
    <row r="82" spans="1:7" x14ac:dyDescent="0.25">
      <c r="A82" t="s">
        <v>62</v>
      </c>
      <c r="B82" t="s">
        <v>229</v>
      </c>
      <c r="C82" t="s">
        <v>253</v>
      </c>
      <c r="D82" t="s">
        <v>253</v>
      </c>
      <c r="E82" t="s">
        <v>243</v>
      </c>
      <c r="F82" t="str">
        <f>IF( ISBLANK(G82),
     "",
     "["&amp;G82&amp;"]"
)</f>
        <v/>
      </c>
    </row>
    <row r="83" spans="1:7" x14ac:dyDescent="0.25">
      <c r="A83" t="s">
        <v>63</v>
      </c>
      <c r="B83" t="s">
        <v>229</v>
      </c>
      <c r="C83" t="s">
        <v>253</v>
      </c>
      <c r="D83" t="s">
        <v>253</v>
      </c>
      <c r="E83" t="s">
        <v>243</v>
      </c>
      <c r="F83" t="str">
        <f>IF( ISBLANK(G83),
     "",
     "["&amp;G83&amp;"]"
)</f>
        <v/>
      </c>
    </row>
    <row r="84" spans="1:7" x14ac:dyDescent="0.25">
      <c r="A84" t="s">
        <v>69</v>
      </c>
      <c r="B84" t="s">
        <v>229</v>
      </c>
      <c r="C84" t="s">
        <v>253</v>
      </c>
      <c r="D84" t="s">
        <v>253</v>
      </c>
      <c r="E84" t="s">
        <v>243</v>
      </c>
      <c r="F84" t="str">
        <f>IF( ISBLANK(G84),
     "",
     "["&amp;G84&amp;"]"
)</f>
        <v/>
      </c>
    </row>
    <row r="85" spans="1:7" x14ac:dyDescent="0.25">
      <c r="A85" t="s">
        <v>245</v>
      </c>
      <c r="B85" t="s">
        <v>229</v>
      </c>
      <c r="C85" t="s">
        <v>253</v>
      </c>
      <c r="D85" t="s">
        <v>253</v>
      </c>
      <c r="E85" t="s">
        <v>235</v>
      </c>
      <c r="F85" t="str">
        <f>IF( ISBLANK(G85),
     "",
     "["&amp;G85&amp;"]"
)</f>
        <v/>
      </c>
    </row>
    <row r="86" spans="1:7" x14ac:dyDescent="0.25">
      <c r="A86" t="s">
        <v>30</v>
      </c>
      <c r="B86" t="s">
        <v>229</v>
      </c>
      <c r="C86" t="s">
        <v>253</v>
      </c>
      <c r="D86" t="s">
        <v>253</v>
      </c>
      <c r="E86" t="s">
        <v>243</v>
      </c>
      <c r="F86" t="str">
        <f>IF( ISBLANK(G86),
     "",
     "["&amp;G86&amp;"]"
)</f>
        <v/>
      </c>
    </row>
    <row r="87" spans="1:7" x14ac:dyDescent="0.25">
      <c r="A87" t="s">
        <v>244</v>
      </c>
      <c r="B87" t="s">
        <v>229</v>
      </c>
      <c r="C87" t="s">
        <v>253</v>
      </c>
      <c r="D87" t="s">
        <v>253</v>
      </c>
      <c r="E87" t="s">
        <v>243</v>
      </c>
      <c r="F87" t="str">
        <f>IF( ISBLANK(G87),
     "",
     "["&amp;G87&amp;"]"
)</f>
        <v/>
      </c>
    </row>
    <row r="88" spans="1:7" x14ac:dyDescent="0.25">
      <c r="A88" t="s">
        <v>35</v>
      </c>
      <c r="B88" t="s">
        <v>229</v>
      </c>
      <c r="C88" t="s">
        <v>253</v>
      </c>
      <c r="D88" t="s">
        <v>253</v>
      </c>
      <c r="E88" t="s">
        <v>243</v>
      </c>
      <c r="F88" t="str">
        <f>IF( ISBLANK(G88),
     "",
     "["&amp;G88&amp;"]"
)</f>
        <v/>
      </c>
    </row>
    <row r="89" spans="1:7" x14ac:dyDescent="0.25">
      <c r="A89" t="s">
        <v>268</v>
      </c>
      <c r="B89" t="s">
        <v>229</v>
      </c>
      <c r="C89" t="s">
        <v>253</v>
      </c>
      <c r="D89" t="s">
        <v>253</v>
      </c>
      <c r="E89" t="s">
        <v>243</v>
      </c>
      <c r="F89" t="s">
        <v>253</v>
      </c>
    </row>
    <row r="90" spans="1:7" x14ac:dyDescent="0.25">
      <c r="A90" t="s">
        <v>43</v>
      </c>
      <c r="B90" t="s">
        <v>229</v>
      </c>
      <c r="C90" t="s">
        <v>253</v>
      </c>
      <c r="D90" t="s">
        <v>253</v>
      </c>
      <c r="E90" t="s">
        <v>243</v>
      </c>
      <c r="F90" t="str">
        <f>IF( ISBLANK(G90),
     "",
     "["&amp;G90&amp;"]"
)</f>
        <v/>
      </c>
    </row>
    <row r="91" spans="1:7" x14ac:dyDescent="0.25">
      <c r="A91" s="4" t="s">
        <v>146</v>
      </c>
      <c r="B91" t="s">
        <v>229</v>
      </c>
      <c r="C91" t="s">
        <v>253</v>
      </c>
      <c r="D91" t="s">
        <v>253</v>
      </c>
      <c r="E91" t="s">
        <v>243</v>
      </c>
      <c r="F91" t="str">
        <f>IF( ISBLANK(G91),
     "",
     "["&amp;G91&amp;"]"
)</f>
        <v/>
      </c>
    </row>
    <row r="92" spans="1:7" x14ac:dyDescent="0.25">
      <c r="A92" t="s">
        <v>236</v>
      </c>
      <c r="B92" t="s">
        <v>229</v>
      </c>
      <c r="C92" t="s">
        <v>253</v>
      </c>
      <c r="D92" t="s">
        <v>253</v>
      </c>
      <c r="E92" t="s">
        <v>238</v>
      </c>
      <c r="F92" t="str">
        <f>IF( ISBLANK(G92),
     "",
     "["&amp;G92&amp;"]"
)</f>
        <v>[http://www.fastenal.com/web/products/details/MX2530020A20000?searchMode=productSearch&amp;zipcode=&amp;filterByStore=&amp;filterByVendingMachine=]</v>
      </c>
      <c r="G92" s="6" t="s">
        <v>237</v>
      </c>
    </row>
    <row r="93" spans="1:7" x14ac:dyDescent="0.25">
      <c r="A93" t="s">
        <v>179</v>
      </c>
      <c r="B93" t="s">
        <v>180</v>
      </c>
      <c r="C93" t="s">
        <v>253</v>
      </c>
      <c r="D93" t="s">
        <v>253</v>
      </c>
      <c r="E93" t="s">
        <v>181</v>
      </c>
      <c r="F93" t="str">
        <f>IF( ISBLANK(G93),
     "",
     "["&amp;G93&amp;"]"
)</f>
        <v>[http://openbuildspartstore.com/openrail-black-anodized/]</v>
      </c>
      <c r="G93" s="6" t="s">
        <v>177</v>
      </c>
    </row>
    <row r="94" spans="1:7" x14ac:dyDescent="0.25">
      <c r="A94" t="s">
        <v>70</v>
      </c>
      <c r="B94" t="s">
        <v>233</v>
      </c>
      <c r="C94" t="s">
        <v>253</v>
      </c>
      <c r="D94" t="s">
        <v>253</v>
      </c>
      <c r="E94" t="s">
        <v>234</v>
      </c>
      <c r="F94" t="str">
        <f>IF( ISBLANK(G94),
     "",
     "["&amp;G94&amp;"]"
)</f>
        <v>[http://www.homedepot.com/p/Everbilt-Spring-Assortment-Kit-84-Pack-15642/202045461]</v>
      </c>
      <c r="G94" s="6" t="s">
        <v>100</v>
      </c>
    </row>
    <row r="95" spans="1:7" x14ac:dyDescent="0.25">
      <c r="A95" t="s">
        <v>36</v>
      </c>
      <c r="B95" t="s">
        <v>233</v>
      </c>
      <c r="C95" t="s">
        <v>253</v>
      </c>
      <c r="D95" t="s">
        <v>253</v>
      </c>
      <c r="E95" t="s">
        <v>234</v>
      </c>
      <c r="F95" t="str">
        <f>IF( ISBLANK(G95),
     "",
     "["&amp;G95&amp;"]"
)</f>
        <v>[http://www.homedepot.com/p/Everbilt-Spring-Assortment-Kit-84-Pack-15642/202045461]</v>
      </c>
      <c r="G95" s="6" t="s">
        <v>100</v>
      </c>
    </row>
    <row r="96" spans="1:7" x14ac:dyDescent="0.25">
      <c r="A96" t="s">
        <v>32</v>
      </c>
      <c r="B96" t="s">
        <v>190</v>
      </c>
      <c r="C96" t="s">
        <v>232</v>
      </c>
      <c r="D96" t="s">
        <v>253</v>
      </c>
      <c r="E96" t="s">
        <v>254</v>
      </c>
      <c r="F96" t="str">
        <f>IF( ISBLANK(G96),
     "",
     "["&amp;G96&amp;"]"
)</f>
        <v>[http://www.amazon.com/Amico-Thermostat-Temperature-Control-Celsius/dp/B007Q81IQY]</v>
      </c>
      <c r="G96" s="6" t="s">
        <v>231</v>
      </c>
    </row>
    <row r="97" spans="1:7" x14ac:dyDescent="0.25">
      <c r="A97" t="s">
        <v>28</v>
      </c>
      <c r="B97" t="s">
        <v>123</v>
      </c>
      <c r="C97" t="s">
        <v>253</v>
      </c>
      <c r="D97" t="s">
        <v>253</v>
      </c>
      <c r="E97" t="s">
        <v>246</v>
      </c>
      <c r="F97" t="str">
        <f>IF( ISBLANK(G97),
     "",
     "["&amp;G97&amp;"]"
)</f>
        <v/>
      </c>
    </row>
    <row r="98" spans="1:7" x14ac:dyDescent="0.25">
      <c r="A98" t="s">
        <v>116</v>
      </c>
      <c r="B98" t="s">
        <v>247</v>
      </c>
      <c r="C98" t="s">
        <v>253</v>
      </c>
      <c r="D98" t="s">
        <v>253</v>
      </c>
      <c r="E98" t="s">
        <v>206</v>
      </c>
      <c r="F98" t="str">
        <f>IF( ISBLANK(G98),
     "",
     "["&amp;G98&amp;"]"
)</f>
        <v>[http://www.makershop.co.nz/PFA_4-2MM]</v>
      </c>
      <c r="G98" s="6" t="s">
        <v>205</v>
      </c>
    </row>
    <row r="99" spans="1:7" x14ac:dyDescent="0.25">
      <c r="A99" t="s">
        <v>94</v>
      </c>
      <c r="B99" t="s">
        <v>248</v>
      </c>
      <c r="C99" t="s">
        <v>253</v>
      </c>
      <c r="D99" t="s">
        <v>141</v>
      </c>
      <c r="E99" t="s">
        <v>145</v>
      </c>
      <c r="F99" t="str">
        <f>IF( ISBLANK(G99),
     "",
     "["&amp;G99&amp;"]"
)</f>
        <v>[http://www.mcmaster.com/#catalog/120/862/=qly4to]</v>
      </c>
      <c r="G99" s="6" t="s">
        <v>144</v>
      </c>
    </row>
    <row r="100" spans="1:7" x14ac:dyDescent="0.25">
      <c r="A100" t="s">
        <v>95</v>
      </c>
      <c r="B100" t="s">
        <v>248</v>
      </c>
      <c r="C100" t="s">
        <v>253</v>
      </c>
      <c r="D100" t="s">
        <v>141</v>
      </c>
      <c r="E100" t="s">
        <v>145</v>
      </c>
      <c r="F100" t="str">
        <f>IF( ISBLANK(G100),
     "",
     "["&amp;G100&amp;"]"
)</f>
        <v>[http://www.mcmaster.com/#catalog/120/862/=qly4to]</v>
      </c>
      <c r="G100" s="6" t="s">
        <v>144</v>
      </c>
    </row>
    <row r="101" spans="1:7" x14ac:dyDescent="0.25">
      <c r="A101" t="s">
        <v>92</v>
      </c>
      <c r="B101" t="s">
        <v>248</v>
      </c>
      <c r="C101" t="s">
        <v>253</v>
      </c>
      <c r="D101" t="s">
        <v>141</v>
      </c>
      <c r="E101" t="s">
        <v>145</v>
      </c>
      <c r="F101" t="str">
        <f>IF( ISBLANK(G101),
     "",
     "["&amp;G101&amp;"]"
)</f>
        <v>[http://www.mcmaster.com/#catalog/120/862/=qly4to]</v>
      </c>
      <c r="G101" s="6" t="s">
        <v>144</v>
      </c>
    </row>
    <row r="102" spans="1:7" x14ac:dyDescent="0.25">
      <c r="A102" t="s">
        <v>93</v>
      </c>
      <c r="B102" t="s">
        <v>248</v>
      </c>
      <c r="C102" t="s">
        <v>253</v>
      </c>
      <c r="D102" t="s">
        <v>141</v>
      </c>
      <c r="E102" t="s">
        <v>145</v>
      </c>
      <c r="F102" t="str">
        <f>IF( ISBLANK(G102),
     "",
     "["&amp;G102&amp;"]"
)</f>
        <v>[http://www.mcmaster.com/#catalog/120/862/=qly4to]</v>
      </c>
      <c r="G102" s="6" t="s">
        <v>144</v>
      </c>
    </row>
    <row r="103" spans="1:7" x14ac:dyDescent="0.25">
      <c r="A103" t="s">
        <v>98</v>
      </c>
      <c r="B103" t="s">
        <v>248</v>
      </c>
      <c r="C103" t="s">
        <v>253</v>
      </c>
      <c r="D103" t="s">
        <v>251</v>
      </c>
      <c r="E103" t="s">
        <v>255</v>
      </c>
      <c r="F103" t="str">
        <f>IF( ISBLANK(G103),
     "",
     "["&amp;G103&amp;"]"
)</f>
        <v>[http://www.mcmaster.com/#spiral-bundling-wrap/=qm0474]</v>
      </c>
      <c r="G103" s="6" t="s">
        <v>250</v>
      </c>
    </row>
    <row r="104" spans="1:7" x14ac:dyDescent="0.25">
      <c r="A104" t="s">
        <v>90</v>
      </c>
      <c r="B104" t="s">
        <v>229</v>
      </c>
      <c r="C104" t="s">
        <v>253</v>
      </c>
      <c r="D104" t="s">
        <v>253</v>
      </c>
      <c r="E104" t="s">
        <v>256</v>
      </c>
      <c r="F104" t="str">
        <f>IF( ISBLANK(G104),
     "",
     "["&amp;G104&amp;"]"
)</f>
        <v/>
      </c>
    </row>
    <row r="105" spans="1:7" x14ac:dyDescent="0.25">
      <c r="A105" t="s">
        <v>6</v>
      </c>
      <c r="B105" t="s">
        <v>229</v>
      </c>
      <c r="C105" t="s">
        <v>253</v>
      </c>
      <c r="D105" t="s">
        <v>253</v>
      </c>
      <c r="E105" t="s">
        <v>256</v>
      </c>
      <c r="F105" t="str">
        <f>IF( ISBLANK(G105),
     "",
     "["&amp;G105&amp;"]"
)</f>
        <v/>
      </c>
    </row>
    <row r="106" spans="1:7" x14ac:dyDescent="0.25">
      <c r="A106" t="s">
        <v>5</v>
      </c>
      <c r="B106" t="s">
        <v>229</v>
      </c>
      <c r="C106" t="s">
        <v>253</v>
      </c>
      <c r="D106" t="s">
        <v>253</v>
      </c>
      <c r="E106" t="s">
        <v>256</v>
      </c>
      <c r="F106" t="str">
        <f>IF( ISBLANK(G106),
     "",
     "["&amp;G106&amp;"]"
)</f>
        <v/>
      </c>
    </row>
    <row r="107" spans="1:7" x14ac:dyDescent="0.25">
      <c r="A107" t="s">
        <v>40</v>
      </c>
      <c r="B107" t="s">
        <v>229</v>
      </c>
      <c r="C107" t="s">
        <v>253</v>
      </c>
      <c r="D107" t="s">
        <v>253</v>
      </c>
      <c r="E107" t="s">
        <v>256</v>
      </c>
      <c r="F107" t="str">
        <f>IF( ISBLANK(G107),
     "",
     "["&amp;G107&amp;"]"
)</f>
        <v>[http://www.fastenal.com/web/products/details/11511778?isPunchout=false]</v>
      </c>
      <c r="G107" s="6" t="s">
        <v>249</v>
      </c>
    </row>
  </sheetData>
  <sortState ref="A2:Z107">
    <sortCondition ref="A1"/>
  </sortState>
  <hyperlinks>
    <hyperlink ref="G99" r:id="rId1" location="catalog/120/862/=qly4to"/>
    <hyperlink ref="G100" r:id="rId2" location="catalog/120/862/=qly4to"/>
    <hyperlink ref="G101" r:id="rId3" location="catalog/120/862/=qly4to"/>
    <hyperlink ref="G102" r:id="rId4" location="catalog/120/862/=qly4to"/>
    <hyperlink ref="G49" r:id="rId5"/>
    <hyperlink ref="G38" r:id="rId6"/>
    <hyperlink ref="G26" r:id="rId7"/>
    <hyperlink ref="G42" r:id="rId8"/>
    <hyperlink ref="G93" r:id="rId9"/>
    <hyperlink ref="G41" r:id="rId10"/>
    <hyperlink ref="G40" r:id="rId11"/>
    <hyperlink ref="G12" r:id="rId12"/>
    <hyperlink ref="G2" r:id="rId13"/>
    <hyperlink ref="G9" r:id="rId14"/>
    <hyperlink ref="G10" r:id="rId15"/>
    <hyperlink ref="G21" r:id="rId16"/>
    <hyperlink ref="G24" r:id="rId17"/>
    <hyperlink ref="G25" r:id="rId18"/>
    <hyperlink ref="G98" r:id="rId19"/>
    <hyperlink ref="G30" r:id="rId20"/>
    <hyperlink ref="G32" r:id="rId21"/>
    <hyperlink ref="G31" r:id="rId22"/>
    <hyperlink ref="G47" r:id="rId23"/>
    <hyperlink ref="G46" r:id="rId24"/>
    <hyperlink ref="G45" r:id="rId25"/>
    <hyperlink ref="G43" r:id="rId26"/>
    <hyperlink ref="G44" r:id="rId27"/>
    <hyperlink ref="G48" r:id="rId28"/>
    <hyperlink ref="G51" r:id="rId29"/>
    <hyperlink ref="G52" r:id="rId30"/>
    <hyperlink ref="G27" r:id="rId31"/>
    <hyperlink ref="G28" r:id="rId32"/>
    <hyperlink ref="G96" r:id="rId33"/>
    <hyperlink ref="G94" r:id="rId34"/>
    <hyperlink ref="G95" r:id="rId35"/>
    <hyperlink ref="G92" r:id="rId36"/>
    <hyperlink ref="G22" r:id="rId37"/>
    <hyperlink ref="G107" r:id="rId38"/>
    <hyperlink ref="G103" r:id="rId39" location="spiral-bundling-wrap/=qm0474"/>
    <hyperlink ref="G14" r:id="rId40"/>
    <hyperlink ref="G13" r:id="rId41"/>
    <hyperlink ref="G11" r:id="rId42"/>
  </hyperlinks>
  <pageMargins left="0.7" right="0.7" top="0.75" bottom="0.75" header="0.3" footer="0.3"/>
  <drawing r:id="rId4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ExplodedBOM</vt:lpstr>
      <vt:lpstr>FlatBOM</vt:lpstr>
      <vt:lpstr>PartSpecs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Dieringer</dc:creator>
  <cp:lastModifiedBy>Christopher Dieringer</cp:lastModifiedBy>
  <dcterms:created xsi:type="dcterms:W3CDTF">2014-02-08T00:38:43Z</dcterms:created>
  <dcterms:modified xsi:type="dcterms:W3CDTF">2014-02-09T05:35:58Z</dcterms:modified>
</cp:coreProperties>
</file>